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.syharev\Desktop\Задачи\10.2026\Проценка\"/>
    </mc:Choice>
  </mc:AlternateContent>
  <xr:revisionPtr revIDLastSave="0" documentId="13_ncr:1_{B10F7361-203F-4750-A5CC-BD458ED39F5F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Отчет" sheetId="1" r:id="rId1"/>
    <sheet name="PriceAnalysisSettings" sheetId="3" state="veryHidden" r:id="rId2"/>
    <sheet name="Расч" sheetId="6" state="hidden" r:id="rId3"/>
    <sheet name="Сводка по брендам" sheetId="7" r:id="rId4"/>
  </sheets>
  <definedNames>
    <definedName name="_xlnm._FilterDatabase" localSheetId="0" hidden="1">Отчет!$A$2:$X$340</definedName>
  </definedNames>
  <calcPr calcId="19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" i="1" l="1"/>
  <c r="AE3" i="1" s="1"/>
  <c r="AL3" i="1" s="1"/>
  <c r="AC7" i="1"/>
  <c r="AD7" i="1" s="1"/>
  <c r="AC8" i="1"/>
  <c r="AK8" i="1" s="1"/>
  <c r="AC11" i="1"/>
  <c r="AE11" i="1" s="1"/>
  <c r="AL11" i="1" s="1"/>
  <c r="AC13" i="1"/>
  <c r="AO13" i="1" s="1"/>
  <c r="AC17" i="1"/>
  <c r="AK17" i="1" s="1"/>
  <c r="AC18" i="1"/>
  <c r="AD18" i="1" s="1"/>
  <c r="AC27" i="1"/>
  <c r="AD27" i="1" s="1"/>
  <c r="AC28" i="1"/>
  <c r="AQ28" i="1" s="1"/>
  <c r="AR28" i="1" s="1"/>
  <c r="AC29" i="1"/>
  <c r="AO29" i="1" s="1"/>
  <c r="AC30" i="1"/>
  <c r="AD30" i="1" s="1"/>
  <c r="AC31" i="1"/>
  <c r="AQ31" i="1" s="1"/>
  <c r="AC47" i="1"/>
  <c r="AC50" i="1"/>
  <c r="AD50" i="1" s="1"/>
  <c r="AC51" i="1"/>
  <c r="AK51" i="1" s="1"/>
  <c r="AC52" i="1"/>
  <c r="AE52" i="1" s="1"/>
  <c r="AL52" i="1" s="1"/>
  <c r="AC54" i="1"/>
  <c r="AK54" i="1" s="1"/>
  <c r="AC56" i="1"/>
  <c r="AK56" i="1" s="1"/>
  <c r="AC63" i="1"/>
  <c r="AE63" i="1" s="1"/>
  <c r="AL63" i="1" s="1"/>
  <c r="AC66" i="1"/>
  <c r="AC70" i="1"/>
  <c r="AQ70" i="1" s="1"/>
  <c r="AC78" i="1"/>
  <c r="AO78" i="1" s="1"/>
  <c r="AP78" i="1" s="1"/>
  <c r="AC80" i="1"/>
  <c r="AD80" i="1" s="1"/>
  <c r="AC87" i="1"/>
  <c r="AQ87" i="1" s="1"/>
  <c r="AC88" i="1"/>
  <c r="AC90" i="1"/>
  <c r="AD90" i="1" s="1"/>
  <c r="AC91" i="1"/>
  <c r="AQ91" i="1" s="1"/>
  <c r="AR91" i="1" s="1"/>
  <c r="AC93" i="1"/>
  <c r="AE93" i="1" s="1"/>
  <c r="AL93" i="1" s="1"/>
  <c r="AC101" i="1"/>
  <c r="AE101" i="1" s="1"/>
  <c r="AL101" i="1" s="1"/>
  <c r="AC102" i="1"/>
  <c r="AK102" i="1" s="1"/>
  <c r="AC103" i="1"/>
  <c r="AD103" i="1" s="1"/>
  <c r="AC118" i="1"/>
  <c r="AD118" i="1" s="1"/>
  <c r="AC122" i="1"/>
  <c r="AC127" i="1"/>
  <c r="AO127" i="1" s="1"/>
  <c r="AP127" i="1" s="1"/>
  <c r="AC129" i="1"/>
  <c r="AD129" i="1" s="1"/>
  <c r="AC135" i="1"/>
  <c r="AQ135" i="1" s="1"/>
  <c r="AC137" i="1"/>
  <c r="AC140" i="1"/>
  <c r="AD140" i="1" s="1"/>
  <c r="AC144" i="1"/>
  <c r="AQ144" i="1" s="1"/>
  <c r="AC150" i="1"/>
  <c r="AE150" i="1" s="1"/>
  <c r="AL150" i="1" s="1"/>
  <c r="AC152" i="1"/>
  <c r="AO152" i="1" s="1"/>
  <c r="AC154" i="1"/>
  <c r="AK154" i="1" s="1"/>
  <c r="AC155" i="1"/>
  <c r="AD155" i="1" s="1"/>
  <c r="AC156" i="1"/>
  <c r="AC162" i="1"/>
  <c r="AQ162" i="1" s="1"/>
  <c r="AR162" i="1" s="1"/>
  <c r="AC168" i="1"/>
  <c r="AO168" i="1" s="1"/>
  <c r="AP168" i="1" s="1"/>
  <c r="AC171" i="1"/>
  <c r="AD171" i="1" s="1"/>
  <c r="AC174" i="1"/>
  <c r="AQ174" i="1" s="1"/>
  <c r="AC178" i="1"/>
  <c r="AC183" i="1"/>
  <c r="AD183" i="1" s="1"/>
  <c r="AC186" i="1"/>
  <c r="AC188" i="1"/>
  <c r="AE188" i="1" s="1"/>
  <c r="AL188" i="1" s="1"/>
  <c r="AC189" i="1"/>
  <c r="AE189" i="1" s="1"/>
  <c r="AL189" i="1" s="1"/>
  <c r="AC190" i="1"/>
  <c r="AK190" i="1" s="1"/>
  <c r="AC193" i="1"/>
  <c r="AD193" i="1" s="1"/>
  <c r="AC205" i="1"/>
  <c r="AD205" i="1" s="1"/>
  <c r="AC206" i="1"/>
  <c r="AQ206" i="1" s="1"/>
  <c r="AC207" i="1"/>
  <c r="AO207" i="1" s="1"/>
  <c r="AC208" i="1"/>
  <c r="AD208" i="1" s="1"/>
  <c r="AC209" i="1"/>
  <c r="AQ209" i="1" s="1"/>
  <c r="AC220" i="1"/>
  <c r="AC221" i="1"/>
  <c r="AD221" i="1" s="1"/>
  <c r="AC226" i="1"/>
  <c r="AQ226" i="1" s="1"/>
  <c r="AR226" i="1" s="1"/>
  <c r="AC230" i="1"/>
  <c r="AE230" i="1" s="1"/>
  <c r="AL230" i="1" s="1"/>
  <c r="AC233" i="1"/>
  <c r="AQ233" i="1" s="1"/>
  <c r="AC237" i="1"/>
  <c r="AK237" i="1" s="1"/>
  <c r="AC238" i="1"/>
  <c r="AE238" i="1" s="1"/>
  <c r="AL238" i="1" s="1"/>
  <c r="AC239" i="1"/>
  <c r="AC241" i="1"/>
  <c r="AQ241" i="1" s="1"/>
  <c r="AC253" i="1"/>
  <c r="AO253" i="1" s="1"/>
  <c r="AP253" i="1" s="1"/>
  <c r="AC269" i="1"/>
  <c r="AD269" i="1" s="1"/>
  <c r="AC277" i="1"/>
  <c r="AQ277" i="1" s="1"/>
  <c r="AC278" i="1"/>
  <c r="AE278" i="1" s="1"/>
  <c r="AL278" i="1" s="1"/>
  <c r="AC279" i="1"/>
  <c r="AD279" i="1" s="1"/>
  <c r="AC282" i="1"/>
  <c r="AQ282" i="1" s="1"/>
  <c r="AR282" i="1" s="1"/>
  <c r="AC304" i="1"/>
  <c r="AE304" i="1" s="1"/>
  <c r="AL304" i="1" s="1"/>
  <c r="AC305" i="1"/>
  <c r="AO305" i="1" s="1"/>
  <c r="AC306" i="1"/>
  <c r="AK306" i="1" s="1"/>
  <c r="AC307" i="1"/>
  <c r="AD307" i="1" s="1"/>
  <c r="AC308" i="1"/>
  <c r="AD308" i="1" s="1"/>
  <c r="AC309" i="1"/>
  <c r="AQ309" i="1" s="1"/>
  <c r="AC310" i="1"/>
  <c r="AO310" i="1" s="1"/>
  <c r="AC311" i="1"/>
  <c r="AD311" i="1" s="1"/>
  <c r="AC312" i="1"/>
  <c r="AQ312" i="1" s="1"/>
  <c r="AC315" i="1"/>
  <c r="AO315" i="1" s="1"/>
  <c r="AC317" i="1"/>
  <c r="AD317" i="1" s="1"/>
  <c r="AC318" i="1"/>
  <c r="AQ318" i="1" s="1"/>
  <c r="AR318" i="1" s="1"/>
  <c r="AC319" i="1"/>
  <c r="AE319" i="1" s="1"/>
  <c r="AL319" i="1" s="1"/>
  <c r="AC340" i="1"/>
  <c r="AQ340" i="1" s="1"/>
  <c r="AB3" i="1"/>
  <c r="AB7" i="1"/>
  <c r="AB8" i="1"/>
  <c r="AB11" i="1"/>
  <c r="AB13" i="1"/>
  <c r="AB17" i="1"/>
  <c r="AB18" i="1"/>
  <c r="AB27" i="1"/>
  <c r="AB28" i="1"/>
  <c r="AB29" i="1"/>
  <c r="AB30" i="1"/>
  <c r="AB31" i="1"/>
  <c r="AB47" i="1"/>
  <c r="AB50" i="1"/>
  <c r="AB51" i="1"/>
  <c r="AB52" i="1"/>
  <c r="AB54" i="1"/>
  <c r="AB56" i="1"/>
  <c r="AB63" i="1"/>
  <c r="AB66" i="1"/>
  <c r="AB70" i="1"/>
  <c r="AB78" i="1"/>
  <c r="AB80" i="1"/>
  <c r="AB87" i="1"/>
  <c r="AB88" i="1"/>
  <c r="AB90" i="1"/>
  <c r="AB91" i="1"/>
  <c r="AB93" i="1"/>
  <c r="AB101" i="1"/>
  <c r="AB102" i="1"/>
  <c r="AB103" i="1"/>
  <c r="AB118" i="1"/>
  <c r="AB122" i="1"/>
  <c r="AB127" i="1"/>
  <c r="AB129" i="1"/>
  <c r="AB135" i="1"/>
  <c r="AB137" i="1"/>
  <c r="AB140" i="1"/>
  <c r="AB144" i="1"/>
  <c r="AB150" i="1"/>
  <c r="AB152" i="1"/>
  <c r="AB154" i="1"/>
  <c r="AB155" i="1"/>
  <c r="AB156" i="1"/>
  <c r="AB162" i="1"/>
  <c r="AB168" i="1"/>
  <c r="AB171" i="1"/>
  <c r="AB174" i="1"/>
  <c r="AB178" i="1"/>
  <c r="AB183" i="1"/>
  <c r="AB186" i="1"/>
  <c r="AB188" i="1"/>
  <c r="AB189" i="1"/>
  <c r="AB190" i="1"/>
  <c r="AB193" i="1"/>
  <c r="AB205" i="1"/>
  <c r="AB206" i="1"/>
  <c r="AB207" i="1"/>
  <c r="AB208" i="1"/>
  <c r="AB209" i="1"/>
  <c r="AB220" i="1"/>
  <c r="AB221" i="1"/>
  <c r="AB226" i="1"/>
  <c r="AB230" i="1"/>
  <c r="AB233" i="1"/>
  <c r="AB237" i="1"/>
  <c r="AB238" i="1"/>
  <c r="AB239" i="1"/>
  <c r="AB241" i="1"/>
  <c r="AB253" i="1"/>
  <c r="AB269" i="1"/>
  <c r="AB277" i="1"/>
  <c r="AB278" i="1"/>
  <c r="AB279" i="1"/>
  <c r="AB282" i="1"/>
  <c r="AB304" i="1"/>
  <c r="AB305" i="1"/>
  <c r="AB306" i="1"/>
  <c r="AB307" i="1"/>
  <c r="AB308" i="1"/>
  <c r="AB309" i="1"/>
  <c r="AB310" i="1"/>
  <c r="AB311" i="1"/>
  <c r="AB312" i="1"/>
  <c r="AB315" i="1"/>
  <c r="AB317" i="1"/>
  <c r="AB318" i="1"/>
  <c r="AB319" i="1"/>
  <c r="AB340" i="1"/>
  <c r="X340" i="1"/>
  <c r="X319" i="1"/>
  <c r="X318" i="1"/>
  <c r="X317" i="1"/>
  <c r="X315" i="1"/>
  <c r="X312" i="1"/>
  <c r="X311" i="1"/>
  <c r="X310" i="1"/>
  <c r="X309" i="1"/>
  <c r="X308" i="1"/>
  <c r="X307" i="1"/>
  <c r="X306" i="1"/>
  <c r="X305" i="1"/>
  <c r="X304" i="1"/>
  <c r="X282" i="1"/>
  <c r="X279" i="1"/>
  <c r="X278" i="1"/>
  <c r="X277" i="1"/>
  <c r="X269" i="1"/>
  <c r="X253" i="1"/>
  <c r="X241" i="1"/>
  <c r="X239" i="1"/>
  <c r="X238" i="1"/>
  <c r="X237" i="1"/>
  <c r="X233" i="1"/>
  <c r="X230" i="1"/>
  <c r="X226" i="1"/>
  <c r="X221" i="1"/>
  <c r="X220" i="1"/>
  <c r="X209" i="1"/>
  <c r="X208" i="1"/>
  <c r="X207" i="1"/>
  <c r="X206" i="1"/>
  <c r="X205" i="1"/>
  <c r="X193" i="1"/>
  <c r="X190" i="1"/>
  <c r="X189" i="1"/>
  <c r="X188" i="1"/>
  <c r="X186" i="1"/>
  <c r="X183" i="1"/>
  <c r="X178" i="1"/>
  <c r="X174" i="1"/>
  <c r="X171" i="1"/>
  <c r="X168" i="1"/>
  <c r="X162" i="1"/>
  <c r="X156" i="1"/>
  <c r="X155" i="1"/>
  <c r="X154" i="1"/>
  <c r="X152" i="1"/>
  <c r="X150" i="1"/>
  <c r="X144" i="1"/>
  <c r="X140" i="1"/>
  <c r="X137" i="1"/>
  <c r="X135" i="1"/>
  <c r="X129" i="1"/>
  <c r="X127" i="1"/>
  <c r="X122" i="1"/>
  <c r="X118" i="1"/>
  <c r="X103" i="1"/>
  <c r="X102" i="1"/>
  <c r="X101" i="1"/>
  <c r="X93" i="1"/>
  <c r="X91" i="1"/>
  <c r="X90" i="1"/>
  <c r="X88" i="1"/>
  <c r="X87" i="1"/>
  <c r="X80" i="1"/>
  <c r="X78" i="1"/>
  <c r="X70" i="1"/>
  <c r="X66" i="1"/>
  <c r="X63" i="1"/>
  <c r="X56" i="1"/>
  <c r="X54" i="1"/>
  <c r="X52" i="1"/>
  <c r="X51" i="1"/>
  <c r="X50" i="1"/>
  <c r="X47" i="1"/>
  <c r="X31" i="1"/>
  <c r="X30" i="1"/>
  <c r="X29" i="1"/>
  <c r="X28" i="1"/>
  <c r="X27" i="1"/>
  <c r="X18" i="1"/>
  <c r="X3" i="1"/>
  <c r="X17" i="1"/>
  <c r="X7" i="1"/>
  <c r="V1" i="1"/>
  <c r="U1" i="1"/>
  <c r="B2" i="7" l="1"/>
  <c r="B21" i="7"/>
  <c r="B15" i="7"/>
  <c r="B14" i="7"/>
  <c r="B5" i="7"/>
  <c r="B3" i="7"/>
  <c r="B4" i="7"/>
  <c r="AD63" i="1"/>
  <c r="AF63" i="1" s="1"/>
  <c r="AM63" i="1" s="1"/>
  <c r="AN63" i="1" s="1"/>
  <c r="AD209" i="1"/>
  <c r="AE209" i="1"/>
  <c r="AL209" i="1" s="1"/>
  <c r="AE54" i="1"/>
  <c r="AL54" i="1" s="1"/>
  <c r="AE56" i="1"/>
  <c r="AL56" i="1" s="1"/>
  <c r="AO190" i="1"/>
  <c r="AP190" i="1" s="1"/>
  <c r="AO189" i="1"/>
  <c r="AP189" i="1" s="1"/>
  <c r="AO129" i="1"/>
  <c r="AP129" i="1" s="1"/>
  <c r="AD17" i="1"/>
  <c r="AE13" i="1"/>
  <c r="AL13" i="1" s="1"/>
  <c r="AO102" i="1"/>
  <c r="AP102" i="1" s="1"/>
  <c r="AE17" i="1"/>
  <c r="AL17" i="1" s="1"/>
  <c r="AK310" i="1"/>
  <c r="AO56" i="1"/>
  <c r="AP56" i="1" s="1"/>
  <c r="AE305" i="1"/>
  <c r="AL305" i="1" s="1"/>
  <c r="AK305" i="1"/>
  <c r="AO54" i="1"/>
  <c r="AP54" i="1" s="1"/>
  <c r="AD56" i="1"/>
  <c r="AE277" i="1"/>
  <c r="AL277" i="1" s="1"/>
  <c r="AK233" i="1"/>
  <c r="AD312" i="1"/>
  <c r="AE233" i="1"/>
  <c r="AL233" i="1" s="1"/>
  <c r="AK189" i="1"/>
  <c r="AQ311" i="1"/>
  <c r="AR311" i="1" s="1"/>
  <c r="AD306" i="1"/>
  <c r="AE171" i="1"/>
  <c r="AL171" i="1" s="1"/>
  <c r="AQ189" i="1"/>
  <c r="AR189" i="1" s="1"/>
  <c r="AD190" i="1"/>
  <c r="AE155" i="1"/>
  <c r="AL155" i="1" s="1"/>
  <c r="AO269" i="1"/>
  <c r="AP269" i="1" s="1"/>
  <c r="AQ168" i="1"/>
  <c r="AR168" i="1" s="1"/>
  <c r="AO340" i="1"/>
  <c r="AP340" i="1" s="1"/>
  <c r="AD154" i="1"/>
  <c r="AE103" i="1"/>
  <c r="AL103" i="1" s="1"/>
  <c r="AO237" i="1"/>
  <c r="AP237" i="1" s="1"/>
  <c r="AQ152" i="1"/>
  <c r="AR152" i="1" s="1"/>
  <c r="AK150" i="1"/>
  <c r="AQ30" i="1"/>
  <c r="AR30" i="1" s="1"/>
  <c r="AD277" i="1"/>
  <c r="AE312" i="1"/>
  <c r="AL312" i="1" s="1"/>
  <c r="AE193" i="1"/>
  <c r="AL193" i="1" s="1"/>
  <c r="AK282" i="1"/>
  <c r="AK171" i="1"/>
  <c r="AK78" i="1"/>
  <c r="AO311" i="1"/>
  <c r="AP311" i="1" s="1"/>
  <c r="AO171" i="1"/>
  <c r="AP171" i="1" s="1"/>
  <c r="AO30" i="1"/>
  <c r="AP30" i="1" s="1"/>
  <c r="AQ129" i="1"/>
  <c r="AR129" i="1" s="1"/>
  <c r="AD238" i="1"/>
  <c r="AF238" i="1" s="1"/>
  <c r="AM238" i="1" s="1"/>
  <c r="AN238" i="1" s="1"/>
  <c r="AD102" i="1"/>
  <c r="AE311" i="1"/>
  <c r="AL311" i="1" s="1"/>
  <c r="AE190" i="1"/>
  <c r="AL190" i="1" s="1"/>
  <c r="AE87" i="1"/>
  <c r="AK269" i="1"/>
  <c r="AK168" i="1"/>
  <c r="AK70" i="1"/>
  <c r="AO306" i="1"/>
  <c r="AP306" i="1" s="1"/>
  <c r="AO154" i="1"/>
  <c r="AP154" i="1" s="1"/>
  <c r="AO17" i="1"/>
  <c r="AP17" i="1" s="1"/>
  <c r="AP13" i="1"/>
  <c r="AQ230" i="1"/>
  <c r="AR230" i="1" s="1"/>
  <c r="AQ127" i="1"/>
  <c r="AR127" i="1" s="1"/>
  <c r="AQ13" i="1"/>
  <c r="AR13" i="1" s="1"/>
  <c r="AK93" i="1"/>
  <c r="AK188" i="1"/>
  <c r="AQ269" i="1"/>
  <c r="AR269" i="1" s="1"/>
  <c r="AD237" i="1"/>
  <c r="AE307" i="1"/>
  <c r="AL307" i="1" s="1"/>
  <c r="AE80" i="1"/>
  <c r="AL80" i="1" s="1"/>
  <c r="AK253" i="1"/>
  <c r="AK162" i="1"/>
  <c r="AQ208" i="1"/>
  <c r="AR208" i="1" s="1"/>
  <c r="AQ122" i="1"/>
  <c r="AR122" i="1" s="1"/>
  <c r="AQ11" i="1"/>
  <c r="AR11" i="1" s="1"/>
  <c r="AQ93" i="1"/>
  <c r="AR93" i="1" s="1"/>
  <c r="AQ52" i="1"/>
  <c r="AR52" i="1" s="1"/>
  <c r="AK91" i="1"/>
  <c r="AR340" i="1"/>
  <c r="AR233" i="1"/>
  <c r="AD87" i="1"/>
  <c r="AE306" i="1"/>
  <c r="AL306" i="1" s="1"/>
  <c r="AE174" i="1"/>
  <c r="AL174" i="1" s="1"/>
  <c r="AK241" i="1"/>
  <c r="AK152" i="1"/>
  <c r="AK52" i="1"/>
  <c r="AO277" i="1"/>
  <c r="AP277" i="1" s="1"/>
  <c r="AO135" i="1"/>
  <c r="AP135" i="1" s="1"/>
  <c r="AP152" i="1"/>
  <c r="AQ319" i="1"/>
  <c r="AR319" i="1" s="1"/>
  <c r="AQ207" i="1"/>
  <c r="AR207" i="1" s="1"/>
  <c r="AQ101" i="1"/>
  <c r="AR101" i="1" s="1"/>
  <c r="AQ8" i="1"/>
  <c r="AR8" i="1" s="1"/>
  <c r="AE269" i="1"/>
  <c r="AL269" i="1" s="1"/>
  <c r="AE154" i="1"/>
  <c r="AL154" i="1" s="1"/>
  <c r="AE31" i="1"/>
  <c r="AK340" i="1"/>
  <c r="AK226" i="1"/>
  <c r="AK129" i="1"/>
  <c r="AK29" i="1"/>
  <c r="AO233" i="1"/>
  <c r="AP233" i="1" s="1"/>
  <c r="AO101" i="1"/>
  <c r="AP101" i="1" s="1"/>
  <c r="AQ188" i="1"/>
  <c r="AR188" i="1" s="1"/>
  <c r="AQ80" i="1"/>
  <c r="AR80" i="1" s="1"/>
  <c r="AK30" i="1"/>
  <c r="AD174" i="1"/>
  <c r="AD31" i="1"/>
  <c r="AE152" i="1"/>
  <c r="AL152" i="1" s="1"/>
  <c r="AE30" i="1"/>
  <c r="AL30" i="1" s="1"/>
  <c r="AK319" i="1"/>
  <c r="AK208" i="1"/>
  <c r="AK127" i="1"/>
  <c r="AK13" i="1"/>
  <c r="AO209" i="1"/>
  <c r="AP209" i="1" s="1"/>
  <c r="AO87" i="1"/>
  <c r="AP87" i="1" s="1"/>
  <c r="AP305" i="1"/>
  <c r="AQ305" i="1"/>
  <c r="AR305" i="1" s="1"/>
  <c r="AQ186" i="1"/>
  <c r="AR186" i="1" s="1"/>
  <c r="AQ78" i="1"/>
  <c r="AR78" i="1" s="1"/>
  <c r="AK230" i="1"/>
  <c r="AK144" i="1"/>
  <c r="AP310" i="1"/>
  <c r="AQ310" i="1"/>
  <c r="AR310" i="1" s="1"/>
  <c r="AE237" i="1"/>
  <c r="AL237" i="1" s="1"/>
  <c r="AE135" i="1"/>
  <c r="AL135" i="1" s="1"/>
  <c r="AE18" i="1"/>
  <c r="AL18" i="1" s="1"/>
  <c r="AK311" i="1"/>
  <c r="AK207" i="1"/>
  <c r="AK101" i="1"/>
  <c r="AK11" i="1"/>
  <c r="AO208" i="1"/>
  <c r="AP208" i="1" s="1"/>
  <c r="AO80" i="1"/>
  <c r="AP80" i="1" s="1"/>
  <c r="AQ304" i="1"/>
  <c r="AR304" i="1" s="1"/>
  <c r="AQ171" i="1"/>
  <c r="AR171" i="1" s="1"/>
  <c r="AQ54" i="1"/>
  <c r="AR54" i="1" s="1"/>
  <c r="AE129" i="1"/>
  <c r="AL129" i="1" s="1"/>
  <c r="AR206" i="1"/>
  <c r="AD135" i="1"/>
  <c r="AE340" i="1"/>
  <c r="AL340" i="1" s="1"/>
  <c r="AE208" i="1"/>
  <c r="AL208" i="1" s="1"/>
  <c r="AE102" i="1"/>
  <c r="AL102" i="1" s="1"/>
  <c r="AK304" i="1"/>
  <c r="AK186" i="1"/>
  <c r="AK80" i="1"/>
  <c r="AO312" i="1"/>
  <c r="AP312" i="1" s="1"/>
  <c r="AO174" i="1"/>
  <c r="AP174" i="1" s="1"/>
  <c r="AO31" i="1"/>
  <c r="AP31" i="1" s="1"/>
  <c r="AP207" i="1"/>
  <c r="AP29" i="1"/>
  <c r="AQ253" i="1"/>
  <c r="AR253" i="1" s="1"/>
  <c r="AQ150" i="1"/>
  <c r="AR150" i="1" s="1"/>
  <c r="AQ29" i="1"/>
  <c r="AR29" i="1" s="1"/>
  <c r="AK317" i="1"/>
  <c r="AO317" i="1"/>
  <c r="AP317" i="1" s="1"/>
  <c r="AQ317" i="1"/>
  <c r="AR317" i="1" s="1"/>
  <c r="AE317" i="1"/>
  <c r="AL317" i="1" s="1"/>
  <c r="AK279" i="1"/>
  <c r="AO279" i="1"/>
  <c r="AP279" i="1" s="1"/>
  <c r="AQ279" i="1"/>
  <c r="AR279" i="1" s="1"/>
  <c r="AE279" i="1"/>
  <c r="AL279" i="1" s="1"/>
  <c r="AK221" i="1"/>
  <c r="AO221" i="1"/>
  <c r="AP221" i="1" s="1"/>
  <c r="AQ221" i="1"/>
  <c r="AR221" i="1" s="1"/>
  <c r="AE221" i="1"/>
  <c r="AL221" i="1" s="1"/>
  <c r="AK183" i="1"/>
  <c r="AO183" i="1"/>
  <c r="AP183" i="1" s="1"/>
  <c r="AQ183" i="1"/>
  <c r="AR183" i="1" s="1"/>
  <c r="AE183" i="1"/>
  <c r="AL183" i="1" s="1"/>
  <c r="AK140" i="1"/>
  <c r="AO140" i="1"/>
  <c r="AP140" i="1" s="1"/>
  <c r="AQ140" i="1"/>
  <c r="AR140" i="1" s="1"/>
  <c r="AE140" i="1"/>
  <c r="AL140" i="1" s="1"/>
  <c r="AK90" i="1"/>
  <c r="AO90" i="1"/>
  <c r="AP90" i="1" s="1"/>
  <c r="AQ90" i="1"/>
  <c r="AR90" i="1" s="1"/>
  <c r="AE90" i="1"/>
  <c r="AL90" i="1" s="1"/>
  <c r="AK50" i="1"/>
  <c r="AO50" i="1"/>
  <c r="AP50" i="1" s="1"/>
  <c r="AQ50" i="1"/>
  <c r="AR50" i="1" s="1"/>
  <c r="AE50" i="1"/>
  <c r="AL50" i="1" s="1"/>
  <c r="AK7" i="1"/>
  <c r="AO7" i="1"/>
  <c r="AP7" i="1" s="1"/>
  <c r="AQ7" i="1"/>
  <c r="AR7" i="1" s="1"/>
  <c r="AE7" i="1"/>
  <c r="AL7" i="1" s="1"/>
  <c r="AQ88" i="1"/>
  <c r="AR88" i="1" s="1"/>
  <c r="AK88" i="1"/>
  <c r="AQ47" i="1"/>
  <c r="AR47" i="1" s="1"/>
  <c r="AK47" i="1"/>
  <c r="AO47" i="1"/>
  <c r="AP47" i="1" s="1"/>
  <c r="AQ178" i="1"/>
  <c r="AR178" i="1" s="1"/>
  <c r="AK178" i="1"/>
  <c r="AQ137" i="1"/>
  <c r="AR137" i="1" s="1"/>
  <c r="AK137" i="1"/>
  <c r="AK318" i="1"/>
  <c r="AQ220" i="1"/>
  <c r="AR220" i="1" s="1"/>
  <c r="AK220" i="1"/>
  <c r="AO137" i="1"/>
  <c r="AP137" i="1" s="1"/>
  <c r="AD220" i="1"/>
  <c r="AE309" i="1"/>
  <c r="AL309" i="1" s="1"/>
  <c r="AD309" i="1"/>
  <c r="AO309" i="1"/>
  <c r="AP309" i="1" s="1"/>
  <c r="AE241" i="1"/>
  <c r="AL241" i="1" s="1"/>
  <c r="AD241" i="1"/>
  <c r="AO241" i="1"/>
  <c r="AP241" i="1" s="1"/>
  <c r="AE206" i="1"/>
  <c r="AL206" i="1" s="1"/>
  <c r="AD206" i="1"/>
  <c r="AO206" i="1"/>
  <c r="AP206" i="1" s="1"/>
  <c r="AE162" i="1"/>
  <c r="AL162" i="1" s="1"/>
  <c r="AD162" i="1"/>
  <c r="AO162" i="1"/>
  <c r="AP162" i="1" s="1"/>
  <c r="AE122" i="1"/>
  <c r="AL122" i="1" s="1"/>
  <c r="AD122" i="1"/>
  <c r="AO122" i="1"/>
  <c r="AP122" i="1" s="1"/>
  <c r="AE70" i="1"/>
  <c r="AL70" i="1" s="1"/>
  <c r="AD70" i="1"/>
  <c r="AO70" i="1"/>
  <c r="AP70" i="1" s="1"/>
  <c r="AE28" i="1"/>
  <c r="AL28" i="1" s="1"/>
  <c r="AD28" i="1"/>
  <c r="AO28" i="1"/>
  <c r="AP28" i="1" s="1"/>
  <c r="AE178" i="1"/>
  <c r="AL178" i="1" s="1"/>
  <c r="AE88" i="1"/>
  <c r="AL88" i="1" s="1"/>
  <c r="AO307" i="1"/>
  <c r="AP307" i="1" s="1"/>
  <c r="AO193" i="1"/>
  <c r="AP193" i="1" s="1"/>
  <c r="AO103" i="1"/>
  <c r="AP103" i="1" s="1"/>
  <c r="AO18" i="1"/>
  <c r="AP18" i="1" s="1"/>
  <c r="AR70" i="1"/>
  <c r="AQ315" i="1"/>
  <c r="AR315" i="1" s="1"/>
  <c r="AP315" i="1"/>
  <c r="AK315" i="1"/>
  <c r="AQ3" i="1"/>
  <c r="AK3" i="1"/>
  <c r="AO220" i="1"/>
  <c r="AP220" i="1" s="1"/>
  <c r="AD315" i="1"/>
  <c r="AD47" i="1"/>
  <c r="AQ308" i="1"/>
  <c r="AR308" i="1" s="1"/>
  <c r="AE308" i="1"/>
  <c r="AL308" i="1" s="1"/>
  <c r="AK308" i="1"/>
  <c r="AO308" i="1"/>
  <c r="AP308" i="1" s="1"/>
  <c r="AQ239" i="1"/>
  <c r="AR239" i="1" s="1"/>
  <c r="AE239" i="1"/>
  <c r="AL239" i="1" s="1"/>
  <c r="AK239" i="1"/>
  <c r="AO239" i="1"/>
  <c r="AP239" i="1" s="1"/>
  <c r="AQ205" i="1"/>
  <c r="AR205" i="1" s="1"/>
  <c r="AE205" i="1"/>
  <c r="AL205" i="1" s="1"/>
  <c r="AK205" i="1"/>
  <c r="AO205" i="1"/>
  <c r="AP205" i="1" s="1"/>
  <c r="AQ156" i="1"/>
  <c r="AR156" i="1" s="1"/>
  <c r="AE156" i="1"/>
  <c r="AL156" i="1" s="1"/>
  <c r="AK156" i="1"/>
  <c r="AO156" i="1"/>
  <c r="AP156" i="1" s="1"/>
  <c r="AQ118" i="1"/>
  <c r="AR118" i="1" s="1"/>
  <c r="AE118" i="1"/>
  <c r="AL118" i="1" s="1"/>
  <c r="AK118" i="1"/>
  <c r="AO118" i="1"/>
  <c r="AP118" i="1" s="1"/>
  <c r="AQ66" i="1"/>
  <c r="AR66" i="1" s="1"/>
  <c r="AE66" i="1"/>
  <c r="AL66" i="1" s="1"/>
  <c r="AK66" i="1"/>
  <c r="AO66" i="1"/>
  <c r="AP66" i="1" s="1"/>
  <c r="AQ27" i="1"/>
  <c r="AR27" i="1" s="1"/>
  <c r="AE27" i="1"/>
  <c r="AL27" i="1" s="1"/>
  <c r="AK27" i="1"/>
  <c r="AO27" i="1"/>
  <c r="AP27" i="1" s="1"/>
  <c r="AR309" i="1"/>
  <c r="AQ278" i="1"/>
  <c r="AR278" i="1" s="1"/>
  <c r="AK278" i="1"/>
  <c r="AD137" i="1"/>
  <c r="AK307" i="1"/>
  <c r="AQ307" i="1"/>
  <c r="AR307" i="1" s="1"/>
  <c r="AK238" i="1"/>
  <c r="AQ238" i="1"/>
  <c r="AR238" i="1" s="1"/>
  <c r="AK193" i="1"/>
  <c r="AQ193" i="1"/>
  <c r="AR193" i="1" s="1"/>
  <c r="AK155" i="1"/>
  <c r="AQ155" i="1"/>
  <c r="AR155" i="1" s="1"/>
  <c r="AK103" i="1"/>
  <c r="AQ103" i="1"/>
  <c r="AR103" i="1" s="1"/>
  <c r="AK63" i="1"/>
  <c r="AQ63" i="1"/>
  <c r="AR63" i="1" s="1"/>
  <c r="AK18" i="1"/>
  <c r="AQ18" i="1"/>
  <c r="AR18" i="1" s="1"/>
  <c r="AK309" i="1"/>
  <c r="AK206" i="1"/>
  <c r="AK122" i="1"/>
  <c r="AK28" i="1"/>
  <c r="AQ51" i="1"/>
  <c r="AR51" i="1" s="1"/>
  <c r="AO278" i="1"/>
  <c r="AP278" i="1" s="1"/>
  <c r="AO178" i="1"/>
  <c r="AP178" i="1" s="1"/>
  <c r="AO88" i="1"/>
  <c r="AP88" i="1" s="1"/>
  <c r="AO3" i="1"/>
  <c r="AD278" i="1"/>
  <c r="AF278" i="1" s="1"/>
  <c r="AM278" i="1" s="1"/>
  <c r="AN278" i="1" s="1"/>
  <c r="AD3" i="1"/>
  <c r="AF3" i="1" s="1"/>
  <c r="AD178" i="1"/>
  <c r="AD88" i="1"/>
  <c r="AD318" i="1"/>
  <c r="AO318" i="1"/>
  <c r="AP318" i="1" s="1"/>
  <c r="AE318" i="1"/>
  <c r="AL318" i="1" s="1"/>
  <c r="AD282" i="1"/>
  <c r="AO282" i="1"/>
  <c r="AP282" i="1" s="1"/>
  <c r="AE282" i="1"/>
  <c r="AL282" i="1" s="1"/>
  <c r="AD226" i="1"/>
  <c r="AO226" i="1"/>
  <c r="AP226" i="1" s="1"/>
  <c r="AE226" i="1"/>
  <c r="AL226" i="1" s="1"/>
  <c r="AD186" i="1"/>
  <c r="AO186" i="1"/>
  <c r="AP186" i="1" s="1"/>
  <c r="AE186" i="1"/>
  <c r="AL186" i="1" s="1"/>
  <c r="AD144" i="1"/>
  <c r="AO144" i="1"/>
  <c r="AP144" i="1" s="1"/>
  <c r="AE144" i="1"/>
  <c r="AL144" i="1" s="1"/>
  <c r="AD91" i="1"/>
  <c r="AO91" i="1"/>
  <c r="AP91" i="1" s="1"/>
  <c r="AE91" i="1"/>
  <c r="AL91" i="1" s="1"/>
  <c r="AD51" i="1"/>
  <c r="AO51" i="1"/>
  <c r="AP51" i="1" s="1"/>
  <c r="AE51" i="1"/>
  <c r="AL51" i="1" s="1"/>
  <c r="AD8" i="1"/>
  <c r="AO8" i="1"/>
  <c r="AP8" i="1" s="1"/>
  <c r="AE8" i="1"/>
  <c r="AL8" i="1" s="1"/>
  <c r="AD239" i="1"/>
  <c r="AD156" i="1"/>
  <c r="AD66" i="1"/>
  <c r="AE315" i="1"/>
  <c r="AL315" i="1" s="1"/>
  <c r="AE220" i="1"/>
  <c r="AL220" i="1" s="1"/>
  <c r="AE137" i="1"/>
  <c r="AL137" i="1" s="1"/>
  <c r="AE47" i="1"/>
  <c r="AL47" i="1" s="1"/>
  <c r="AO238" i="1"/>
  <c r="AP238" i="1" s="1"/>
  <c r="AO155" i="1"/>
  <c r="AP155" i="1" s="1"/>
  <c r="AO63" i="1"/>
  <c r="AP63" i="1" s="1"/>
  <c r="AR241" i="1"/>
  <c r="AR144" i="1"/>
  <c r="AD310" i="1"/>
  <c r="AD253" i="1"/>
  <c r="AD207" i="1"/>
  <c r="AD168" i="1"/>
  <c r="AD127" i="1"/>
  <c r="AD78" i="1"/>
  <c r="AD29" i="1"/>
  <c r="AR312" i="1"/>
  <c r="AR277" i="1"/>
  <c r="AR209" i="1"/>
  <c r="AR174" i="1"/>
  <c r="AR135" i="1"/>
  <c r="AR87" i="1"/>
  <c r="AR31" i="1"/>
  <c r="AK312" i="1"/>
  <c r="AK277" i="1"/>
  <c r="AK209" i="1"/>
  <c r="AK174" i="1"/>
  <c r="AK135" i="1"/>
  <c r="AK87" i="1"/>
  <c r="AK31" i="1"/>
  <c r="AQ306" i="1"/>
  <c r="AR306" i="1" s="1"/>
  <c r="AQ237" i="1"/>
  <c r="AR237" i="1" s="1"/>
  <c r="AQ190" i="1"/>
  <c r="AR190" i="1" s="1"/>
  <c r="AQ154" i="1"/>
  <c r="AR154" i="1" s="1"/>
  <c r="AQ102" i="1"/>
  <c r="AR102" i="1" s="1"/>
  <c r="AQ56" i="1"/>
  <c r="AR56" i="1" s="1"/>
  <c r="AQ17" i="1"/>
  <c r="AR17" i="1" s="1"/>
  <c r="AD340" i="1"/>
  <c r="AD305" i="1"/>
  <c r="AD233" i="1"/>
  <c r="AD189" i="1"/>
  <c r="AF189" i="1" s="1"/>
  <c r="AM189" i="1" s="1"/>
  <c r="AN189" i="1" s="1"/>
  <c r="AD152" i="1"/>
  <c r="AD101" i="1"/>
  <c r="AF101" i="1" s="1"/>
  <c r="AM101" i="1" s="1"/>
  <c r="AN101" i="1" s="1"/>
  <c r="AD54" i="1"/>
  <c r="AD13" i="1"/>
  <c r="AE310" i="1"/>
  <c r="AE253" i="1"/>
  <c r="AE207" i="1"/>
  <c r="AE168" i="1"/>
  <c r="AE127" i="1"/>
  <c r="AE78" i="1"/>
  <c r="AE29" i="1"/>
  <c r="AO319" i="1"/>
  <c r="AP319" i="1" s="1"/>
  <c r="AO304" i="1"/>
  <c r="AP304" i="1" s="1"/>
  <c r="AO230" i="1"/>
  <c r="AP230" i="1" s="1"/>
  <c r="AO188" i="1"/>
  <c r="AP188" i="1" s="1"/>
  <c r="AO150" i="1"/>
  <c r="AP150" i="1" s="1"/>
  <c r="AO93" i="1"/>
  <c r="AP93" i="1" s="1"/>
  <c r="AO52" i="1"/>
  <c r="AP52" i="1" s="1"/>
  <c r="AO11" i="1"/>
  <c r="AP11" i="1" s="1"/>
  <c r="AD319" i="1"/>
  <c r="AF319" i="1" s="1"/>
  <c r="AM319" i="1" s="1"/>
  <c r="AN319" i="1" s="1"/>
  <c r="AD304" i="1"/>
  <c r="AF304" i="1" s="1"/>
  <c r="AM304" i="1" s="1"/>
  <c r="AN304" i="1" s="1"/>
  <c r="AD230" i="1"/>
  <c r="AF230" i="1" s="1"/>
  <c r="AM230" i="1" s="1"/>
  <c r="AN230" i="1" s="1"/>
  <c r="AD188" i="1"/>
  <c r="AF188" i="1" s="1"/>
  <c r="AM188" i="1" s="1"/>
  <c r="AN188" i="1" s="1"/>
  <c r="AD150" i="1"/>
  <c r="AF150" i="1" s="1"/>
  <c r="AM150" i="1" s="1"/>
  <c r="AN150" i="1" s="1"/>
  <c r="AD93" i="1"/>
  <c r="AF93" i="1" s="1"/>
  <c r="AM93" i="1" s="1"/>
  <c r="AN93" i="1" s="1"/>
  <c r="AD52" i="1"/>
  <c r="AF52" i="1" s="1"/>
  <c r="AM52" i="1" s="1"/>
  <c r="AN52" i="1" s="1"/>
  <c r="AD11" i="1"/>
  <c r="AF11" i="1" s="1"/>
  <c r="AM11" i="1" s="1"/>
  <c r="AN11" i="1" s="1"/>
  <c r="X8" i="1"/>
  <c r="X11" i="1"/>
  <c r="X13" i="1"/>
  <c r="T1" i="1"/>
  <c r="AF152" i="1" l="1"/>
  <c r="AM152" i="1" s="1"/>
  <c r="AN152" i="1" s="1"/>
  <c r="B22" i="7"/>
  <c r="B23" i="7"/>
  <c r="AF171" i="1"/>
  <c r="AM171" i="1" s="1"/>
  <c r="AN171" i="1" s="1"/>
  <c r="AF190" i="1"/>
  <c r="AM190" i="1" s="1"/>
  <c r="AN190" i="1" s="1"/>
  <c r="AR3" i="1"/>
  <c r="B17" i="7" s="1"/>
  <c r="AF155" i="1"/>
  <c r="AM155" i="1" s="1"/>
  <c r="AN155" i="1" s="1"/>
  <c r="AF305" i="1"/>
  <c r="AM305" i="1" s="1"/>
  <c r="AN305" i="1" s="1"/>
  <c r="AF56" i="1"/>
  <c r="AM56" i="1" s="1"/>
  <c r="AN56" i="1" s="1"/>
  <c r="AF209" i="1"/>
  <c r="AM209" i="1" s="1"/>
  <c r="AN209" i="1" s="1"/>
  <c r="AP3" i="1"/>
  <c r="B16" i="7" s="1"/>
  <c r="AM3" i="1"/>
  <c r="AN3" i="1" s="1"/>
  <c r="AF162" i="1"/>
  <c r="AM162" i="1" s="1"/>
  <c r="AN162" i="1" s="1"/>
  <c r="AF17" i="1"/>
  <c r="AF28" i="1"/>
  <c r="AM28" i="1" s="1"/>
  <c r="AN28" i="1" s="1"/>
  <c r="AF13" i="1"/>
  <c r="AM13" i="1" s="1"/>
  <c r="AN13" i="1" s="1"/>
  <c r="AF340" i="1"/>
  <c r="AM340" i="1" s="1"/>
  <c r="AN340" i="1" s="1"/>
  <c r="AF103" i="1"/>
  <c r="AM103" i="1" s="1"/>
  <c r="AN103" i="1" s="1"/>
  <c r="AF122" i="1"/>
  <c r="AM122" i="1" s="1"/>
  <c r="AN122" i="1" s="1"/>
  <c r="AF309" i="1"/>
  <c r="AM309" i="1" s="1"/>
  <c r="AN309" i="1" s="1"/>
  <c r="AF205" i="1"/>
  <c r="AM205" i="1" s="1"/>
  <c r="AN205" i="1" s="1"/>
  <c r="AF307" i="1"/>
  <c r="AM307" i="1" s="1"/>
  <c r="AN307" i="1" s="1"/>
  <c r="AF312" i="1"/>
  <c r="AM312" i="1" s="1"/>
  <c r="AN312" i="1" s="1"/>
  <c r="AF233" i="1"/>
  <c r="AM233" i="1" s="1"/>
  <c r="AN233" i="1" s="1"/>
  <c r="AF239" i="1"/>
  <c r="AM239" i="1" s="1"/>
  <c r="AN239" i="1" s="1"/>
  <c r="AF183" i="1"/>
  <c r="AM183" i="1" s="1"/>
  <c r="AN183" i="1" s="1"/>
  <c r="AF154" i="1"/>
  <c r="AM154" i="1" s="1"/>
  <c r="AN154" i="1" s="1"/>
  <c r="AF186" i="1"/>
  <c r="AM186" i="1" s="1"/>
  <c r="AN186" i="1" s="1"/>
  <c r="AF54" i="1"/>
  <c r="AM54" i="1" s="1"/>
  <c r="AN54" i="1" s="1"/>
  <c r="AF129" i="1"/>
  <c r="AM129" i="1" s="1"/>
  <c r="AN129" i="1" s="1"/>
  <c r="AF18" i="1"/>
  <c r="AM18" i="1" s="1"/>
  <c r="AN18" i="1" s="1"/>
  <c r="AF206" i="1"/>
  <c r="AM206" i="1" s="1"/>
  <c r="AN206" i="1" s="1"/>
  <c r="AF306" i="1"/>
  <c r="AM306" i="1" s="1"/>
  <c r="AN306" i="1" s="1"/>
  <c r="AF193" i="1"/>
  <c r="AM193" i="1" s="1"/>
  <c r="AN193" i="1" s="1"/>
  <c r="AF144" i="1"/>
  <c r="AM144" i="1" s="1"/>
  <c r="AN144" i="1" s="1"/>
  <c r="AF80" i="1"/>
  <c r="AM80" i="1" s="1"/>
  <c r="AN80" i="1" s="1"/>
  <c r="AF102" i="1"/>
  <c r="AM102" i="1" s="1"/>
  <c r="AN102" i="1" s="1"/>
  <c r="AF8" i="1"/>
  <c r="AM8" i="1" s="1"/>
  <c r="AN8" i="1" s="1"/>
  <c r="AF208" i="1"/>
  <c r="AM208" i="1" s="1"/>
  <c r="AN208" i="1" s="1"/>
  <c r="AF277" i="1"/>
  <c r="AM277" i="1" s="1"/>
  <c r="AN277" i="1" s="1"/>
  <c r="AF51" i="1"/>
  <c r="AM51" i="1" s="1"/>
  <c r="AN51" i="1" s="1"/>
  <c r="AF311" i="1"/>
  <c r="AM311" i="1" s="1"/>
  <c r="AN311" i="1" s="1"/>
  <c r="AF174" i="1"/>
  <c r="AM174" i="1" s="1"/>
  <c r="AN174" i="1" s="1"/>
  <c r="AL31" i="1"/>
  <c r="AF31" i="1"/>
  <c r="AM31" i="1" s="1"/>
  <c r="AN31" i="1" s="1"/>
  <c r="AF315" i="1"/>
  <c r="AM315" i="1" s="1"/>
  <c r="AN315" i="1" s="1"/>
  <c r="AF7" i="1"/>
  <c r="AM7" i="1" s="1"/>
  <c r="AN7" i="1" s="1"/>
  <c r="AF90" i="1"/>
  <c r="AM90" i="1" s="1"/>
  <c r="AN90" i="1" s="1"/>
  <c r="AF269" i="1"/>
  <c r="AM269" i="1" s="1"/>
  <c r="AN269" i="1" s="1"/>
  <c r="AF91" i="1"/>
  <c r="AM91" i="1" s="1"/>
  <c r="AN91" i="1" s="1"/>
  <c r="AF27" i="1"/>
  <c r="AM27" i="1" s="1"/>
  <c r="AN27" i="1" s="1"/>
  <c r="AF135" i="1"/>
  <c r="AM135" i="1" s="1"/>
  <c r="AN135" i="1" s="1"/>
  <c r="AF30" i="1"/>
  <c r="AM30" i="1" s="1"/>
  <c r="AN30" i="1" s="1"/>
  <c r="AL87" i="1"/>
  <c r="AF87" i="1"/>
  <c r="AM87" i="1" s="1"/>
  <c r="AN87" i="1" s="1"/>
  <c r="AF237" i="1"/>
  <c r="AM237" i="1" s="1"/>
  <c r="AN237" i="1" s="1"/>
  <c r="AF241" i="1"/>
  <c r="AM241" i="1" s="1"/>
  <c r="AN241" i="1" s="1"/>
  <c r="AF279" i="1"/>
  <c r="AM279" i="1" s="1"/>
  <c r="AN279" i="1" s="1"/>
  <c r="AL253" i="1"/>
  <c r="AF253" i="1"/>
  <c r="AM253" i="1" s="1"/>
  <c r="AN253" i="1" s="1"/>
  <c r="AF137" i="1"/>
  <c r="AM137" i="1" s="1"/>
  <c r="AN137" i="1" s="1"/>
  <c r="AF318" i="1"/>
  <c r="AM318" i="1" s="1"/>
  <c r="AN318" i="1" s="1"/>
  <c r="AF118" i="1"/>
  <c r="AM118" i="1" s="1"/>
  <c r="AN118" i="1" s="1"/>
  <c r="AF310" i="1"/>
  <c r="AM310" i="1" s="1"/>
  <c r="AN310" i="1" s="1"/>
  <c r="AL310" i="1"/>
  <c r="AF226" i="1"/>
  <c r="AM226" i="1" s="1"/>
  <c r="AN226" i="1" s="1"/>
  <c r="AF88" i="1"/>
  <c r="AF220" i="1"/>
  <c r="AM220" i="1" s="1"/>
  <c r="AN220" i="1" s="1"/>
  <c r="AF178" i="1"/>
  <c r="AM178" i="1" s="1"/>
  <c r="AN178" i="1" s="1"/>
  <c r="AF50" i="1"/>
  <c r="AM50" i="1" s="1"/>
  <c r="AN50" i="1" s="1"/>
  <c r="AF29" i="1"/>
  <c r="AM29" i="1" s="1"/>
  <c r="AN29" i="1" s="1"/>
  <c r="AL29" i="1"/>
  <c r="AF308" i="1"/>
  <c r="AM308" i="1" s="1"/>
  <c r="AN308" i="1" s="1"/>
  <c r="AF140" i="1"/>
  <c r="AM140" i="1" s="1"/>
  <c r="AN140" i="1" s="1"/>
  <c r="AF221" i="1"/>
  <c r="AM221" i="1" s="1"/>
  <c r="AN221" i="1" s="1"/>
  <c r="AF317" i="1"/>
  <c r="AM317" i="1" s="1"/>
  <c r="AN317" i="1" s="1"/>
  <c r="AL78" i="1"/>
  <c r="AF78" i="1"/>
  <c r="AM78" i="1" s="1"/>
  <c r="AN78" i="1" s="1"/>
  <c r="AF66" i="1"/>
  <c r="AM66" i="1" s="1"/>
  <c r="AN66" i="1" s="1"/>
  <c r="AL168" i="1"/>
  <c r="AF168" i="1"/>
  <c r="AM168" i="1" s="1"/>
  <c r="AN168" i="1" s="1"/>
  <c r="AF156" i="1"/>
  <c r="AM156" i="1" s="1"/>
  <c r="AN156" i="1" s="1"/>
  <c r="AF70" i="1"/>
  <c r="AM70" i="1" s="1"/>
  <c r="AN70" i="1" s="1"/>
  <c r="AF127" i="1"/>
  <c r="AM127" i="1" s="1"/>
  <c r="AN127" i="1" s="1"/>
  <c r="AL127" i="1"/>
  <c r="AF282" i="1"/>
  <c r="AM282" i="1" s="1"/>
  <c r="AN282" i="1" s="1"/>
  <c r="AF207" i="1"/>
  <c r="AM207" i="1" s="1"/>
  <c r="AN207" i="1" s="1"/>
  <c r="AL207" i="1"/>
  <c r="AF47" i="1"/>
  <c r="AM47" i="1" s="1"/>
  <c r="AN47" i="1" s="1"/>
  <c r="B13" i="7" l="1"/>
  <c r="B26" i="7"/>
  <c r="B24" i="7"/>
  <c r="B25" i="7"/>
  <c r="B12" i="7"/>
  <c r="B11" i="7"/>
  <c r="B10" i="7"/>
  <c r="AM88" i="1"/>
  <c r="AN88" i="1" s="1"/>
  <c r="B9" i="7"/>
  <c r="AM17" i="1"/>
  <c r="AN17" i="1" s="1"/>
  <c r="B8" i="7"/>
  <c r="B7" i="7"/>
  <c r="B6" i="7"/>
</calcChain>
</file>

<file path=xl/sharedStrings.xml><?xml version="1.0" encoding="utf-8"?>
<sst xmlns="http://schemas.openxmlformats.org/spreadsheetml/2006/main" count="3784" uniqueCount="887">
  <si>
    <t>Итоговый отчёт</t>
  </si>
  <si>
    <t>Код товара</t>
  </si>
  <si>
    <t>Наименование русс.</t>
  </si>
  <si>
    <t>Артикул</t>
  </si>
  <si>
    <t>Группа заказа</t>
  </si>
  <si>
    <t>Категория NEW</t>
  </si>
  <si>
    <t>Группа NEW</t>
  </si>
  <si>
    <t>Подгруппа NEW</t>
  </si>
  <si>
    <t>Закупочная цена валюта</t>
  </si>
  <si>
    <t>Закупочная цена</t>
  </si>
  <si>
    <t>МО Валюта</t>
  </si>
  <si>
    <t>МО</t>
  </si>
  <si>
    <t>Разновидность</t>
  </si>
  <si>
    <t>Продажи(2025)</t>
  </si>
  <si>
    <t>СБС</t>
  </si>
  <si>
    <t>СБС план</t>
  </si>
  <si>
    <t>Кат. А</t>
  </si>
  <si>
    <t>ВР 1</t>
  </si>
  <si>
    <t>Сумма продажи</t>
  </si>
  <si>
    <t>Сумма прибыли</t>
  </si>
  <si>
    <t>Диск тормозной пер. ADVICS</t>
  </si>
  <si>
    <t>A6F164B</t>
  </si>
  <si>
    <t>Продукция ADVICS</t>
  </si>
  <si>
    <t>ДЕТАЛИ ТОРМОЗНОЙ СИСТЕМЫ</t>
  </si>
  <si>
    <t>Тормозные диски</t>
  </si>
  <si>
    <t>Стандартные тормозные диски</t>
  </si>
  <si>
    <t>JPY</t>
  </si>
  <si>
    <t>U2JPY</t>
  </si>
  <si>
    <t>(F) TOYOTA CAMRY V40 (06-11), CAMRY V50 (11-17), RAV4 A30 (06-12)</t>
  </si>
  <si>
    <t>A</t>
  </si>
  <si>
    <t>Диск тормозной зад. ADVICS</t>
  </si>
  <si>
    <t>A6R135B</t>
  </si>
  <si>
    <t>(R) TOYOTA LAND CRUISER J200 (07-), LEXUS LX570 (07-)</t>
  </si>
  <si>
    <t>A6F828B</t>
  </si>
  <si>
    <t>(Fr) TOYOTA CAMRY #V7; RAV4 AXA5#</t>
  </si>
  <si>
    <t>A6F159B</t>
  </si>
  <si>
    <t>(F) TOYOTA LAND CRUISER PRADO J150 (09-), 4RUNNER N280 (09-), LEXUS GX460 J150 (09-)</t>
  </si>
  <si>
    <t>A6R161B</t>
  </si>
  <si>
    <t>(R) TOYOTA LAND CRUISER PRADO J150 (09-)</t>
  </si>
  <si>
    <t>A6F153B</t>
  </si>
  <si>
    <t>(F) TOYOTA LAND CRUISER J200 (07-15), LEXUS LX570 J200 (07-15)</t>
  </si>
  <si>
    <t>A6F535B</t>
  </si>
  <si>
    <t>(F) LEXUS LX 450d (15-), TOYOTA LAND CRUISER J200 (15-), TUNDRA UCK60 (07-)</t>
  </si>
  <si>
    <t>A6R208B</t>
  </si>
  <si>
    <t>(R) CAMRY #V70 / RAV4 #A50 / LEXUS NX AGZ10 (14-)</t>
  </si>
  <si>
    <t>A6F147B</t>
  </si>
  <si>
    <t>(F) LEXUS RX GGL10 / GGL15 (08-15), TOYOTA HIGHLANDER GSU45 (08-13), HIGHLANDER GSU55 (13-)</t>
  </si>
  <si>
    <t>A6F540B</t>
  </si>
  <si>
    <t>(F) LEXUS RX AL20 (15-)</t>
  </si>
  <si>
    <t>E6F200B</t>
  </si>
  <si>
    <t>(F) MAZDA CX-5 KE (12-17) / MAZDA 6 GJ (12-)</t>
  </si>
  <si>
    <t>A6R180B</t>
  </si>
  <si>
    <t>(R) TOYOTA LAND CRUISER PRADO J120 (02-09), FJ CRUISER GSJ15 (06-14), LEXUS GX470 J120 (02-09)</t>
  </si>
  <si>
    <t>A6R083B</t>
  </si>
  <si>
    <t>(R) TOYOTA CAMRY V40 (06-12), CAMRY V50 (11-17)</t>
  </si>
  <si>
    <t>A6R545B</t>
  </si>
  <si>
    <t>(R) LEXUS RX AL20 (15-)</t>
  </si>
  <si>
    <t>B</t>
  </si>
  <si>
    <t>A6R078B</t>
  </si>
  <si>
    <t>(R) TOYOTA RAV4 A30 (06-12), RAV4 A40 (12- )</t>
  </si>
  <si>
    <t>A6F182B</t>
  </si>
  <si>
    <t>(F) TOYOTA LAND CRUISER PRADO J120 (02-09), LEXUS GX470 J120 (02-09)</t>
  </si>
  <si>
    <t>D6F141B</t>
  </si>
  <si>
    <t>(F) MITSUBISHI ASX GA4W (10-)</t>
  </si>
  <si>
    <t>F6F125B</t>
  </si>
  <si>
    <t>(F) SUBARU FORESTER SJ (12-)</t>
  </si>
  <si>
    <t>A6F537B</t>
  </si>
  <si>
    <t>(F) LEXUS RX 450h GYL15L (12-15)</t>
  </si>
  <si>
    <t>A6F127B</t>
  </si>
  <si>
    <t>(F) TOYOTA COROLLA E150 (06-12)</t>
  </si>
  <si>
    <t>A6F227B</t>
  </si>
  <si>
    <t>(F) TOYOTA HILUX GUN126L (15-)</t>
  </si>
  <si>
    <t>B6F207B</t>
  </si>
  <si>
    <t>(F) NISSAN MURANO Z52R (15-), PATHFINDER R52R (14-)</t>
  </si>
  <si>
    <t>A6F115B</t>
  </si>
  <si>
    <t>(F) LEXUS RX 350 GSU35L (03-08), TOYOTA HARRER XU30 (03-12)</t>
  </si>
  <si>
    <t>A6R094B</t>
  </si>
  <si>
    <t>(R) LEXUS RX GGL10 / GGL15 (08-15), TOYOTA HIGHLANDER GSU45 (08-13), HIGHLANDER GSU55 (13-)</t>
  </si>
  <si>
    <t>C6F129B</t>
  </si>
  <si>
    <t>(F) HONDA CR-V RE (06-11), CR-V RM (11-16), CROSSTOUR TF (09-15)</t>
  </si>
  <si>
    <t>B6F162B</t>
  </si>
  <si>
    <t>(F) NISSAN QASHQAI / DUALIS J10 (07-13), X-TRAIL T31 (07-13), JUKE F15 (10-)</t>
  </si>
  <si>
    <t>A6R113B</t>
  </si>
  <si>
    <t>(R) LEXUS GS S190 (05-12), TOYOTA MARK X X120 (03-09), MARK X X130 (09-)</t>
  </si>
  <si>
    <t>B6F194B</t>
  </si>
  <si>
    <t>(F) NISSAN QASHQAI J11E (13-), X-TRAIL T32R (14-)</t>
  </si>
  <si>
    <t>A6F143B</t>
  </si>
  <si>
    <t>(F) TOYOTA ALPHARD GGH20 (08-15)</t>
  </si>
  <si>
    <t>A6R173B</t>
  </si>
  <si>
    <t>(R) TOYOTA LAND CRUISER J100 (98-07), LEXUS LX470 J100 (98-07)</t>
  </si>
  <si>
    <t>A6F228B</t>
  </si>
  <si>
    <t>(F) TOYOTA VENZA AGV15L / GGV15L (08-16)</t>
  </si>
  <si>
    <t>Диск тормозной пер. ADVICS правый</t>
  </si>
  <si>
    <t>A6F543B</t>
  </si>
  <si>
    <t>(FR) LEXUS GS 350 GRS196L (05-11)</t>
  </si>
  <si>
    <t>A6R538B</t>
  </si>
  <si>
    <t>(R) LEXUS RX GGL15L / GYL15L (12-15)</t>
  </si>
  <si>
    <t>A6R081B</t>
  </si>
  <si>
    <t>(R) TOYOTA COROLLA E150 (06-12)</t>
  </si>
  <si>
    <t>A6R598B</t>
  </si>
  <si>
    <t>(R) HIGHLANDER XU40 2007-2013</t>
  </si>
  <si>
    <t>F6F126B</t>
  </si>
  <si>
    <t>(F) SUBARU LEGACY BL / BP (03-09)</t>
  </si>
  <si>
    <t>Диск тормозной пер. ADVICS левый</t>
  </si>
  <si>
    <t>A6F544B</t>
  </si>
  <si>
    <t>(FL) LEXUS GS 350 GRS196L (05-11)</t>
  </si>
  <si>
    <t>A6F256B</t>
  </si>
  <si>
    <t>(F) TOYOTA COROLLA 140, 160 (07-12), VITZ 90, 130 (05-14),  RACTIS 100 (06-08) BELTA 90 (06-09), PASSO SETTE (09-12), PORTE (12-), SPADE (12-)</t>
  </si>
  <si>
    <t>A6F234B</t>
  </si>
  <si>
    <t>(F) TOYOTA LAND CRUISER PRADO J90 (96-02)</t>
  </si>
  <si>
    <t>D6R781B</t>
  </si>
  <si>
    <t>(R) MITSUBISHI OUTLANDER GF2W 2012-</t>
  </si>
  <si>
    <t>D6F138B</t>
  </si>
  <si>
    <t>(F) MITSUBISHI PAJERO V60 / V70 (00-06), PAJERO V80 / V90 (06-)</t>
  </si>
  <si>
    <t>A6F106B</t>
  </si>
  <si>
    <t>(F) TOYOTA LAND CRUISER J100 (98-07), LEXUS LX470 (98-07)</t>
  </si>
  <si>
    <t>E6R201B</t>
  </si>
  <si>
    <t>(R) MAZDA CX-5 KE (12-17)</t>
  </si>
  <si>
    <t>F6F171B</t>
  </si>
  <si>
    <t>(F) SUBARU FORESTER SH (07-12)</t>
  </si>
  <si>
    <t>C6F110B</t>
  </si>
  <si>
    <t>(F) HONDA CIVIC FN / FK (06-12), EDIX BE (04-09)</t>
  </si>
  <si>
    <t>A6R603B</t>
  </si>
  <si>
    <t>(R) VENZA AGL15L 2008-2015</t>
  </si>
  <si>
    <t>A6R077B</t>
  </si>
  <si>
    <t>(R) TOYOTA HARRIER U30 (03-13), LEXUS RX U30 (03-08)</t>
  </si>
  <si>
    <t>A6F122B</t>
  </si>
  <si>
    <t>(F) LEXUS IS XE20 (05-13), TOYOTA CROWN S180 (03-08)</t>
  </si>
  <si>
    <t>F6R210B</t>
  </si>
  <si>
    <t>(R) SUBARU FORESTER SJ (12-)</t>
  </si>
  <si>
    <t>F6R091B</t>
  </si>
  <si>
    <t>(R) SUBARU FORESTER SH (07-12), BRZ ZC6 (12-)</t>
  </si>
  <si>
    <t>A6F132B</t>
  </si>
  <si>
    <t>(F) TOYOTA 4RUNNER / HILUX SURF N210 (02-09), FJ CRUISER GSJ15 (06-14)</t>
  </si>
  <si>
    <t>D6F134B</t>
  </si>
  <si>
    <t>(F) MITSUBISHI PAJERO SPORT KH9W (08-15), L200 KB4T (05-15)</t>
  </si>
  <si>
    <t>A6F197B</t>
  </si>
  <si>
    <t>(F) TOYOTA COROLLA E180 (13-)</t>
  </si>
  <si>
    <t>D6F105B</t>
  </si>
  <si>
    <t>(F) MITSUBISHI OUTLANDER CW (06-12), OUTLANDER GF (12-)</t>
  </si>
  <si>
    <t>B6R098B</t>
  </si>
  <si>
    <t>(R) NISSAN MURANO Z50 (03-08), MURANO Z52R (15-), PATHFINDER R52R (14-16)</t>
  </si>
  <si>
    <t>B6F206B</t>
  </si>
  <si>
    <t>(F) INFINITI QX80 Z62 (10-)</t>
  </si>
  <si>
    <t>C6F573B</t>
  </si>
  <si>
    <t>(F) HONDA PILOT YF4 (08-15), ACURA MDX YD2 (08-15)</t>
  </si>
  <si>
    <t>A6F116B</t>
  </si>
  <si>
    <t xml:space="preserve">(F) TOYOTA COROLLA AXIO/FIELDER (NZE14#,ZRE14#), VITZ P90 (05-10), VITZ P130 (10-), AQUA NHP10 (11-), PASSO SETTE (M502E,M512E) 2008-, PORTE/SPADE (NCP14#,NSP140) 2012- </t>
  </si>
  <si>
    <t>A6F199B</t>
  </si>
  <si>
    <t>(F) TOYOTA HILUX AN10 (05-15)</t>
  </si>
  <si>
    <t>A6R198B</t>
  </si>
  <si>
    <t>(R) TOYOTA COROLLA E180 (13-)</t>
  </si>
  <si>
    <t>D6R179B</t>
  </si>
  <si>
    <t>(R) MITSUBISHI PAJERO V60 / V70 (00-06), PAJERO V80 / V90 (06-)</t>
  </si>
  <si>
    <t>B6F551B</t>
  </si>
  <si>
    <t>(F) INFINITI M37 / Q70 Y51 (09-)</t>
  </si>
  <si>
    <t>A6F2181</t>
  </si>
  <si>
    <t>(F) TOYOTA LAND CRUISER FJA300 / VJA300 (21~)</t>
  </si>
  <si>
    <t>B6R192B</t>
  </si>
  <si>
    <t>(R) NISSAN PATROL Y62 (10-), INFINITI QX80 Z62 (10-)</t>
  </si>
  <si>
    <t>C6F123B</t>
  </si>
  <si>
    <t>(F) HONDA FIT / JAZZ GE6 (07-13), INSIGHT ZE2 (09-14), FREED GB (08-16)</t>
  </si>
  <si>
    <t>H6F120B</t>
  </si>
  <si>
    <t>(F) SUZUKI ESCUDO / GRAND VITARA TA74W / TD54W / TD94W / TDA4W / TDB4W (05-15)</t>
  </si>
  <si>
    <t>D6F1052B</t>
  </si>
  <si>
    <t>(F) MITSUBISHI L200 KS# 2015-</t>
  </si>
  <si>
    <t>D6R511B</t>
  </si>
  <si>
    <t>(R) MITSUBISHI PAJERO V98W (06-)</t>
  </si>
  <si>
    <t>C6R080B</t>
  </si>
  <si>
    <t>(R) HONDA CR-V RM1 / RM2 / RM3 / RM4 (11-16)</t>
  </si>
  <si>
    <t>A6F144B</t>
  </si>
  <si>
    <t>(F) TOYOTA COROLLA E140 (06-12), PREMIO / ALLION NZT260 / ZRT260 (10-16), VITZ NCP131 (10-), RACTIS P120 (10-17), IST P110 (07-16), SIENTA P170 (15-)</t>
  </si>
  <si>
    <t>F6R863B</t>
  </si>
  <si>
    <t>(R) SUBARU LEGACY BN9 2009-2014</t>
  </si>
  <si>
    <t>B6F121B</t>
  </si>
  <si>
    <t>(F) NISSAN WINGROAD Y12 (05-)</t>
  </si>
  <si>
    <t>D6F509B</t>
  </si>
  <si>
    <t>(F) MITSUBISHI PAJERO V98W (06-)</t>
  </si>
  <si>
    <t>A6F118B</t>
  </si>
  <si>
    <t>(F) TOYOTA HIACE H200 (06-)</t>
  </si>
  <si>
    <t>A6F455B</t>
  </si>
  <si>
    <t>(Fr) TOYOTA VOXY, NOAH ZRR7#; PRIUS α ZVW4#</t>
  </si>
  <si>
    <t>A6F158B</t>
  </si>
  <si>
    <t>(F) TOYOTA PRIUS ZVW30 (09-15), LEXUS CT 200h (10-)</t>
  </si>
  <si>
    <t>C6R575B</t>
  </si>
  <si>
    <t>(R) HONDA PILOT YF4 (08-15), ACURA MDX YD2 (08-15)</t>
  </si>
  <si>
    <t>F6F861B</t>
  </si>
  <si>
    <t>(F) SUBARU LEVORG, LEGACY (BN), OUTBACK BS 2014-2019, IMPREZA WRX (VA)</t>
  </si>
  <si>
    <t>A6R2183</t>
  </si>
  <si>
    <t>(Rr) TOYOTA LAND CRUISER J300 (21~)</t>
  </si>
  <si>
    <t>A6F422B</t>
  </si>
  <si>
    <t>(F) TOYOTA MARK II / CRESTA / CHASER X100 (96-01)</t>
  </si>
  <si>
    <t>A6F420B</t>
  </si>
  <si>
    <t>(F) TOYOTA COROLLA NZE120 / NZE121 (00-06), SPACIO NZE121N (01-03)</t>
  </si>
  <si>
    <t>B6R872B</t>
  </si>
  <si>
    <t>(R) INFINITI QX70 S51 2008-2013</t>
  </si>
  <si>
    <t>F6F2167</t>
  </si>
  <si>
    <t>(F) SUBARU FORESTER SK (19~)</t>
  </si>
  <si>
    <t>B6F152B</t>
  </si>
  <si>
    <t>(F) INFINITI FX35 / QX70 S51 (08-), INFINITI EX37 / QX50 (08-)</t>
  </si>
  <si>
    <t>B6F191B</t>
  </si>
  <si>
    <t>(F) NISSAN PATROL Y62 (10-)</t>
  </si>
  <si>
    <t>C6F181B</t>
  </si>
  <si>
    <t>(F) HONDA ACCORD CL# RHD, ODYSSEY RB1 / RB2 (03-08)</t>
  </si>
  <si>
    <t>C</t>
  </si>
  <si>
    <t>C6F868B</t>
  </si>
  <si>
    <t>(F) HONDA ACCORD CR3 2013-2019</t>
  </si>
  <si>
    <t>D6R190B</t>
  </si>
  <si>
    <t>(R) MITSUBISHI PAJERO SPORT KH9W (08-15)</t>
  </si>
  <si>
    <t>A6F178B</t>
  </si>
  <si>
    <t>(F) TOYOTA COROLLA E120 (00-06)</t>
  </si>
  <si>
    <t>A6F229B</t>
  </si>
  <si>
    <t>(F) TOYOTA LAND CRUISER GRJ79L (96-02), LAND CRUISER HZJ105L (98-07)</t>
  </si>
  <si>
    <t>B6R074B</t>
  </si>
  <si>
    <t>(R) NISSAN QASHQAI J10 (07-13), TEANA J32 (08-13)</t>
  </si>
  <si>
    <t>B6F167B</t>
  </si>
  <si>
    <t>(F) NISSAN TEANA L33R (13-)</t>
  </si>
  <si>
    <t>C6F154B</t>
  </si>
  <si>
    <t>(F) HONDA ACCORD CU / CP (08-13)</t>
  </si>
  <si>
    <t>A6F1058B</t>
  </si>
  <si>
    <t>(F) TOYOTA COROLLA #E21#; YARIS 2020-</t>
  </si>
  <si>
    <t>A6R421B</t>
  </si>
  <si>
    <t>(R) TOYOTA LAND CRUISER J80 (90-98)</t>
  </si>
  <si>
    <t>B6R196B</t>
  </si>
  <si>
    <t>(R) NISSAN X-TRAIL T32R (14-)</t>
  </si>
  <si>
    <t>D6R1020B</t>
  </si>
  <si>
    <t>(R) MITSUBISHI L200 KS# 2015-</t>
  </si>
  <si>
    <t>B6F131B</t>
  </si>
  <si>
    <t>(F) NISSAN TEANA J32 (08-13)</t>
  </si>
  <si>
    <t>E6F145B</t>
  </si>
  <si>
    <t>(F) MAZDA 6 GH (07-12)</t>
  </si>
  <si>
    <t>H6F233B</t>
  </si>
  <si>
    <t>(F) SUZUKI VITARA LY (15-), SX4 S-CROSS JY (13-)</t>
  </si>
  <si>
    <t>B6R107B</t>
  </si>
  <si>
    <t>(R) NISSAN X-TRAIL T31 (07-13), SKYLINE V35 (01-07)</t>
  </si>
  <si>
    <t>F6F491B</t>
  </si>
  <si>
    <t>(F) SUBARU FORESTER STI SG5 (02-07), LEGACY STI BL (03-09)</t>
  </si>
  <si>
    <t>A6R431B</t>
  </si>
  <si>
    <t>(R) TOYOTA MARK II / CRESTA / CHASER X100 (96-01)</t>
  </si>
  <si>
    <t>A6F2179</t>
  </si>
  <si>
    <t>(F) TOYOTA HIGHLANDER XU70 (19~)</t>
  </si>
  <si>
    <t>D6R085B</t>
  </si>
  <si>
    <t>(R) MITSUBISHI OUTLANDER CW5W (06-12)</t>
  </si>
  <si>
    <t>Диск тормозной пер. прав. ADVICS</t>
  </si>
  <si>
    <t>A6F155B</t>
  </si>
  <si>
    <t>(FR) LEXUS LS 460 F40 (06-12)</t>
  </si>
  <si>
    <t>A6R082B</t>
  </si>
  <si>
    <t>(R) LEXUS IS XE20 (05-13), TOYOTA CROWN S180 (03-08)</t>
  </si>
  <si>
    <t>B6F119B</t>
  </si>
  <si>
    <t>(F) NISSAN MURANO Z50 (03-08)</t>
  </si>
  <si>
    <t>A6F188B</t>
  </si>
  <si>
    <t>(F) TOYOTA CAMRY V30 (01-06), IPSUM ACM20 (03-09), ISIS ZNM10 (04-17)</t>
  </si>
  <si>
    <t>Диск тормозной пер. ADVICS (кратность 2 шт.)</t>
  </si>
  <si>
    <t>R6F1282S</t>
  </si>
  <si>
    <t>(F) Solaris (17-)</t>
  </si>
  <si>
    <t>F6F2170</t>
  </si>
  <si>
    <t>(F) SUBARU XV GT (17~22)</t>
  </si>
  <si>
    <t>A6F423B</t>
  </si>
  <si>
    <t>(F) TOYOTA LAND CRUISER J80 (90-98)</t>
  </si>
  <si>
    <t>C6R869B</t>
  </si>
  <si>
    <t>(R) HONDA CR-V RW 2016-</t>
  </si>
  <si>
    <t>Диск тормозной пер. лев. ADVICS</t>
  </si>
  <si>
    <t>A6F226B</t>
  </si>
  <si>
    <t>(FL) LEXUS LS 460 F40 (06-12)</t>
  </si>
  <si>
    <t>H6R230B</t>
  </si>
  <si>
    <t>(R) SUZUKI GRAND VITARA TDA4 (05-15)</t>
  </si>
  <si>
    <t>H6F777B</t>
  </si>
  <si>
    <t>(F) SUZUKI JIMNY JB43W 1998-2019</t>
  </si>
  <si>
    <t>A6R408B</t>
  </si>
  <si>
    <t>(R) TOYOTA WISH ZGE20G 2009-2017</t>
  </si>
  <si>
    <t>B6F163B</t>
  </si>
  <si>
    <t>(F) NISSAN JUKE LHD (11-), SENTRA B17R (14-)</t>
  </si>
  <si>
    <t>C6F776B</t>
  </si>
  <si>
    <t>(Fr) HONDA VEZEL RU4 (293x25 mm)</t>
  </si>
  <si>
    <t>B6F130B</t>
  </si>
  <si>
    <t>(F) NISSAN TIIDA C11E (04-12)</t>
  </si>
  <si>
    <t>A6R870B</t>
  </si>
  <si>
    <t>(R) TOYOTA LAND CRUISER HZJ105 1998-2007</t>
  </si>
  <si>
    <t>A6F427B</t>
  </si>
  <si>
    <t>(F) TOYOTA AVENSIS T270 (08-18), VERSO AR20 (09-)</t>
  </si>
  <si>
    <t>A6R087B</t>
  </si>
  <si>
    <t>(R) TOYOTA PRIUS ZVW30 (09-15), COROLLA E140 (06-12)</t>
  </si>
  <si>
    <t>B6R503B</t>
  </si>
  <si>
    <t>(R) NISSAN PATROL Y61 (02-10)</t>
  </si>
  <si>
    <t>A6F235B</t>
  </si>
  <si>
    <t>(F) TOYOTA RAV4 A20 (00-05)</t>
  </si>
  <si>
    <t>H6F128B</t>
  </si>
  <si>
    <t>(F) SUZUKI SX4 YA / YB / YC (06-14)</t>
  </si>
  <si>
    <t>B6F231B</t>
  </si>
  <si>
    <t>(F) NISSAN PATHFINDER R51M (05-12)</t>
  </si>
  <si>
    <t>F6R2171</t>
  </si>
  <si>
    <t>(Rr) SUBARU XV GT (17~22)</t>
  </si>
  <si>
    <t>F6R225B</t>
  </si>
  <si>
    <t>(R) SUBARU TRIBECA W10 (06-14)</t>
  </si>
  <si>
    <t>Диск тормозной зад. ADVICS (кратность 2 шт.)</t>
  </si>
  <si>
    <t>R6R987S</t>
  </si>
  <si>
    <t>(R) HYUNDAI CRETA 2016-2021, ELANTRA V/VI (MD, UD, AD, ADA) 2010-, i30 (GD) 2011- / KIA CEE'D (JD) 2012-2018, CERATO III/IV (YD, BD, BDM) 2013-</t>
  </si>
  <si>
    <t>F6F224B</t>
  </si>
  <si>
    <t>(F) SUBARU TRIBECA W10 (06-14)</t>
  </si>
  <si>
    <t>A6F102B</t>
  </si>
  <si>
    <t>(F) TOYOTA ＷlSH ANE10 / ZNE10 (03-09)</t>
  </si>
  <si>
    <t>R6F1218S</t>
  </si>
  <si>
    <t>(F) Solaris disk (10-17)</t>
  </si>
  <si>
    <t>F6F2169</t>
  </si>
  <si>
    <t>(F) SUBARU OUTBACK BT (19~)</t>
  </si>
  <si>
    <t>D6F140B</t>
  </si>
  <si>
    <t>(F) MITSUBISHI LANCER CY / CX (07-15)</t>
  </si>
  <si>
    <t>A6F2174</t>
  </si>
  <si>
    <t>(F) TOYOTA C-HR XA10 (16~23)</t>
  </si>
  <si>
    <t>A6F1005B</t>
  </si>
  <si>
    <t>(F) TOYOTA PRIUS (_W5_) 09/15-&gt; / TOYOTA PRIUS PHV (_W52_) 01/16-&gt;</t>
  </si>
  <si>
    <t>C6R871B</t>
  </si>
  <si>
    <t>(R) HONDA CR-V RM4 2011-2016</t>
  </si>
  <si>
    <t>B6R606B</t>
  </si>
  <si>
    <t>(R) INFINITI G37 V36 2007-2013</t>
  </si>
  <si>
    <t>F6F860B</t>
  </si>
  <si>
    <t>(F) SUBARU LEGACY BN9 2009-2014</t>
  </si>
  <si>
    <t>A6F610B</t>
  </si>
  <si>
    <t>(F) LS 430 UCF30L 2000-2006</t>
  </si>
  <si>
    <t>D6R220B</t>
  </si>
  <si>
    <t>(R) MITSUBISHI ASX GA4W (10-)</t>
  </si>
  <si>
    <t>A6R542B</t>
  </si>
  <si>
    <t>(R) LEXUS RX 300 MCU15L (98-03)</t>
  </si>
  <si>
    <t>A6R070B</t>
  </si>
  <si>
    <t>(R) TOYOTA VISTA (V50), CALDINA (T240), CELICA (T230), OPA (T10), VOLTZ (E137), WiLL VS (E127), PRIUS NHW20L 2003-2009</t>
  </si>
  <si>
    <t>A6R432B</t>
  </si>
  <si>
    <t>(R) TOYOTA MARK II / VEROSSA X110 (00-04)</t>
  </si>
  <si>
    <t>C6F1057B</t>
  </si>
  <si>
    <t>(F) HONDA CR-V RW</t>
  </si>
  <si>
    <t>A6F541B</t>
  </si>
  <si>
    <t>(F) LEXUS RX 300 MCU15L (98-03)</t>
  </si>
  <si>
    <t>C6R218B</t>
  </si>
  <si>
    <t>(R) HONDA CIVIC FD1 (05-11)</t>
  </si>
  <si>
    <t>E6F232B</t>
  </si>
  <si>
    <t>(F) MAZDA 3 BM427 (13-)</t>
  </si>
  <si>
    <t>A6F114B</t>
  </si>
  <si>
    <t>(F) TOYOTA PRIUS NHW20 (03-09)</t>
  </si>
  <si>
    <t>H6F866B</t>
  </si>
  <si>
    <t>(F) SUZUKI ESCUDO / GRAND VITARA TL52W / TX92W 2003-2005</t>
  </si>
  <si>
    <t>B6F600B</t>
  </si>
  <si>
    <t>(F) ARKANA / DUSTER / FLUENCE /TERRANO III D10</t>
  </si>
  <si>
    <t>F6R111B</t>
  </si>
  <si>
    <t>(R) SUBARU LEGACY BL / BP (03-09), IMPREZA GD / GG (00-07)</t>
  </si>
  <si>
    <t>D6R088B</t>
  </si>
  <si>
    <t>(R) MITSUBISHI LANCER CY / CX (07-15)</t>
  </si>
  <si>
    <t>E6R205B</t>
  </si>
  <si>
    <t>(R) MAZDA 6 GJ (12-)</t>
  </si>
  <si>
    <t>A6F072B</t>
  </si>
  <si>
    <t>(F) TOYOTA CAMI (J100E,J122E) (99-05) RUSH / DAIHATSU BE-GO J200 (06-16)</t>
  </si>
  <si>
    <t>B6R151B</t>
  </si>
  <si>
    <t>(R) NISSAN PATROL / SAFARI Y61 (97-10)</t>
  </si>
  <si>
    <t>A6R2180</t>
  </si>
  <si>
    <t>(Rr) TOYOTA HIGHLANDER XU70 (19~)</t>
  </si>
  <si>
    <t>B6R195B</t>
  </si>
  <si>
    <t>(R) NISSAN QASHQAI J11E (13-)</t>
  </si>
  <si>
    <t>A6R214B</t>
  </si>
  <si>
    <t>(R) TOYOTA HARRIER U10 (97-03), KLUGER U20 (00-07), CAMRY V30 (01-06) / LEXUS RX300 (98-03)</t>
  </si>
  <si>
    <t>H6R216B</t>
  </si>
  <si>
    <t>(R) SUZUKI VITARA LY (15-), SX4 S-CROSS JY (13-)</t>
  </si>
  <si>
    <t>C6F566B</t>
  </si>
  <si>
    <t>(F) HONDA LEGEND KB1 (04-08)</t>
  </si>
  <si>
    <t>A6F867B</t>
  </si>
  <si>
    <t>(F) TOYOTA WISH ZGE20G 2009-2017</t>
  </si>
  <si>
    <t>A6R2173</t>
  </si>
  <si>
    <t>(Rr) TOYOTA ALPHARD / VELLFIRE XH30 (15~23)</t>
  </si>
  <si>
    <t>A6F2176</t>
  </si>
  <si>
    <t>(F) TOYOTA COROLLA E210 JPN (19~)</t>
  </si>
  <si>
    <t>R6F988S</t>
  </si>
  <si>
    <t>(F) HYUNDAI CRETA 1.6/ HYUNDAI ELANTRA, i30 / KIA CEE'D</t>
  </si>
  <si>
    <t>A6F100B</t>
  </si>
  <si>
    <t>(F) TOYOTA PROBOX / SUCCEED NCP50 / NCP51 (02-14)</t>
  </si>
  <si>
    <t>E6F532B</t>
  </si>
  <si>
    <t>(F) MAZDA2 DE 2007-2014</t>
  </si>
  <si>
    <t>B6F099B</t>
  </si>
  <si>
    <t>(F) NISSAN NOTE E11E (06-12), MICRA K12E (02-10)</t>
  </si>
  <si>
    <t>A6F2178</t>
  </si>
  <si>
    <t>(F) TOYOTA FORTUNER AN150 (15~)</t>
  </si>
  <si>
    <t>A6F430B</t>
  </si>
  <si>
    <t>(F) TOYOTA CROWN S130 (87-91), CROWN S140 (91-95)</t>
  </si>
  <si>
    <t>R6R938S</t>
  </si>
  <si>
    <t>(R) Solaris disk</t>
  </si>
  <si>
    <t>A6R203B</t>
  </si>
  <si>
    <t>(R) TOYOTA ALPHARD GGH20 (08-15)</t>
  </si>
  <si>
    <t>E6F166B</t>
  </si>
  <si>
    <t>(F) MAZDA CX-7 ER (06-12)</t>
  </si>
  <si>
    <t>R6F1042S</t>
  </si>
  <si>
    <t>(F) HYUNDAI TUCSON/SONATA 17-; KIA SPORTAGE 17-</t>
  </si>
  <si>
    <t>F6R800B</t>
  </si>
  <si>
    <t>(R) SUBARU OUTBACK BR9 2009-2014</t>
  </si>
  <si>
    <t>B6F108B</t>
  </si>
  <si>
    <t>(F) INFINITI G V35 (01-07), NISSAN SKYLINE V35 (01-07), TEANA J31 (03-08)</t>
  </si>
  <si>
    <t>F6F170B</t>
  </si>
  <si>
    <t>(F) SUBARU IMPREZA GE / GH (07-11)</t>
  </si>
  <si>
    <t>B6F608B</t>
  </si>
  <si>
    <t>(F) MARCH K13 2010-2018</t>
  </si>
  <si>
    <t>D6F177B</t>
  </si>
  <si>
    <t>(F) MITSUBISHI DELICA PD / PE / PF (94-06)</t>
  </si>
  <si>
    <t>C6F269B</t>
  </si>
  <si>
    <t>(Fr) HONDA VEZEL RU2 (282x23 mm)</t>
  </si>
  <si>
    <t>B6F500B</t>
  </si>
  <si>
    <t>(F) NISSAN PATROL Y61 (02-10)</t>
  </si>
  <si>
    <t>H6R586B</t>
  </si>
  <si>
    <t>(R) SUZUKI SWIFT ZC72S 2010-2017</t>
  </si>
  <si>
    <t>D6R065B</t>
  </si>
  <si>
    <t>(R) MITSUBISHI OUTLANDER CW (06-12), OUTLANDER GF (12-)</t>
  </si>
  <si>
    <t>E6F183B</t>
  </si>
  <si>
    <t>(F) MAZDA 3 BL (09-13)</t>
  </si>
  <si>
    <t>C6F101B</t>
  </si>
  <si>
    <t>(F) HONDA FIT / JAZZ GD (01-07)</t>
  </si>
  <si>
    <t>B6F124B</t>
  </si>
  <si>
    <t>(F) NISSAN PATHFINDER R51 (05-12)</t>
  </si>
  <si>
    <t>A6F428B</t>
  </si>
  <si>
    <t>(F) TOYOTA AURIS E150L (06-12)</t>
  </si>
  <si>
    <t>B6F169B</t>
  </si>
  <si>
    <t>(F) NISSAN X-TRAIL T30 (00-07)</t>
  </si>
  <si>
    <t>E6F385B</t>
  </si>
  <si>
    <t>(Fr) MAZDA DEMIO DE3FS</t>
  </si>
  <si>
    <t>C6F184B</t>
  </si>
  <si>
    <t>(F) HONDA CIVIC FD / FA (05-11), STREAM RN1 / RN2 / RN3 / RN4 (00-06)</t>
  </si>
  <si>
    <t>A6R071B</t>
  </si>
  <si>
    <t>(R) TOYOTA COROLLA E120 (00-06)</t>
  </si>
  <si>
    <t>F6R351B</t>
  </si>
  <si>
    <t>(R) SUBARU FORESTER SF (97-02)</t>
  </si>
  <si>
    <t>A6F2186</t>
  </si>
  <si>
    <t>(F) TOYOTA PASSO M700 (16~)</t>
  </si>
  <si>
    <t>C6F165B</t>
  </si>
  <si>
    <t>(F) HONDA HR-V GH (98-05), ODYSSEY RA6 / RA7 (99-03)</t>
  </si>
  <si>
    <t>C6R075B</t>
  </si>
  <si>
    <t>(R) HONDA ACCORD CL / CM / CN (03-08)</t>
  </si>
  <si>
    <t>E6R189B</t>
  </si>
  <si>
    <t>(R) MAZDA 6 GH (07-12)</t>
  </si>
  <si>
    <t>H6F851B</t>
  </si>
  <si>
    <t>(F) SUZUKI SWIFT ZC72S 2010-2017</t>
  </si>
  <si>
    <t>E6F388B</t>
  </si>
  <si>
    <t>(F) BONGO SK82 1999-2018</t>
  </si>
  <si>
    <t>A6R2175</t>
  </si>
  <si>
    <t>(Rr) TOYOTA C-HR XA10 (16~23)</t>
  </si>
  <si>
    <t>A6F596B</t>
  </si>
  <si>
    <t>(F) CAMRY MCV30L 2001-2006</t>
  </si>
  <si>
    <t>H6F104B</t>
  </si>
  <si>
    <t>(F) SUZUKI ESCUDO / GRAND VITARA TA02W / TD02W / TD32W / TD52W / TD62W / TL52W (97-05)</t>
  </si>
  <si>
    <t>B6R133B</t>
  </si>
  <si>
    <t>(R) NISSAN PATHFINDER R51 (05-12)</t>
  </si>
  <si>
    <t>R6F1039S</t>
  </si>
  <si>
    <t>(F) KIA SORENTO II 2009 &gt;&gt;, SORENTO III 2015 &gt;&gt;;HYUNDAI GRAND SANTA FÉ 2013 &gt;, SANTA FÉ III 2012 &gt; dia 321 mm</t>
  </si>
  <si>
    <t>A6F426B</t>
  </si>
  <si>
    <t>(F) TOYOTA AVENSIS T250 (03-08)</t>
  </si>
  <si>
    <t>B6F993S</t>
  </si>
  <si>
    <t>(F) RENAULT Duster, Kaptur 1.6</t>
  </si>
  <si>
    <t>R6F967S</t>
  </si>
  <si>
    <t>(F) Sportage II (04-09) 280mm</t>
  </si>
  <si>
    <t>T6F667S</t>
  </si>
  <si>
    <t>(F) AUDI A3/TT 03-&gt; SKODA Octavia/Superb/Yeti 02-&gt; VW Golf/Jetta/Caddy/Passat/Touran/Tiguan/Scirocco 04-&gt;</t>
  </si>
  <si>
    <t>A6R217B</t>
  </si>
  <si>
    <t>(R) TOYOTA RAV4 A20 (00-05)</t>
  </si>
  <si>
    <t>G6F353B</t>
  </si>
  <si>
    <t>(F) TOYOTA PASSO KGC10 2004-2010</t>
  </si>
  <si>
    <t>E6F2161</t>
  </si>
  <si>
    <t>(F) MAZDA CX-30 DM (19~)</t>
  </si>
  <si>
    <t>E6R2163</t>
  </si>
  <si>
    <t>(Rr) MAZDA CX-8 KG5P; CX-9 TC (16~23)</t>
  </si>
  <si>
    <t>D6R517B</t>
  </si>
  <si>
    <t>(R) MITSUBISHI PAJERO SPORT / CHALLENGER K94W (98-08)</t>
  </si>
  <si>
    <t>C6R1059B</t>
  </si>
  <si>
    <t>(R) HONDA Vezel 2013, Accord 2008-2023</t>
  </si>
  <si>
    <t>A6R2177</t>
  </si>
  <si>
    <t>(Rr) TOYOTA COROLLA E210 JPN (19~)</t>
  </si>
  <si>
    <t>A6R434B</t>
  </si>
  <si>
    <t>(R) TOYOTA VERSO AR20 (09-)</t>
  </si>
  <si>
    <t>D6F523B</t>
  </si>
  <si>
    <t>(F) MITSUBISHI GRANDIS NA4W (03-11)</t>
  </si>
  <si>
    <t>C6F148B</t>
  </si>
  <si>
    <t>(F) HONDA CR-V RD4 / RD5 / RD6 / RD7 (01-06)</t>
  </si>
  <si>
    <t>A6F429B</t>
  </si>
  <si>
    <t>(F) TOYOTA MARK X X120 (03-09)</t>
  </si>
  <si>
    <t>A6F599B</t>
  </si>
  <si>
    <t>(F) MARKX GRX120 2004-2009; CROWN GRS18#; GRS200, GRS201</t>
  </si>
  <si>
    <t>E6R215B</t>
  </si>
  <si>
    <t>(R) MAZDA 3 BM427 (13-)</t>
  </si>
  <si>
    <t>C6F109B</t>
  </si>
  <si>
    <t>(F) HONDA CR-V RD1 / RD2 / RD3 (96-01), CIVIC EU / EP (00-05)</t>
  </si>
  <si>
    <t>A6R079B</t>
  </si>
  <si>
    <t>(R) YARIS KSP90L 2005-2010</t>
  </si>
  <si>
    <t>T6F910S</t>
  </si>
  <si>
    <t>(F) POLO/RAPID RUS</t>
  </si>
  <si>
    <t>C6R2157</t>
  </si>
  <si>
    <t>(Rr) HONDA FIT GR (19~)</t>
  </si>
  <si>
    <t>B6F150B</t>
  </si>
  <si>
    <t>(F) NISSAN PATROL / SAFARI Y61 (97-10)</t>
  </si>
  <si>
    <t>A6R433B</t>
  </si>
  <si>
    <t>(R) TOYOTA AVENSIS T270 (08-18)</t>
  </si>
  <si>
    <t>B6F384B</t>
  </si>
  <si>
    <t>(F) ALMERA CLASSIC B10RS 2006-2012</t>
  </si>
  <si>
    <t>C6F2156</t>
  </si>
  <si>
    <t>(F) HONDA FIT GR (19~)</t>
  </si>
  <si>
    <t>B6R499B</t>
  </si>
  <si>
    <t>(R) NISSAN PRIMERA P12 (01-03), CEFIRO A33 / AVENIR W11</t>
  </si>
  <si>
    <t>X6R838S</t>
  </si>
  <si>
    <t>(R) Audi A3 96-&gt; VW Bora/Golf 97- Seat Toledo 97-&gt; Skoda Octavia/Rapid 96-&gt;</t>
  </si>
  <si>
    <t>D6F516B</t>
  </si>
  <si>
    <t>(F) LANCER CS3A 2000-2007</t>
  </si>
  <si>
    <t>H6F602B</t>
  </si>
  <si>
    <t>(F) JIMNY SN415 1998-2018, ESCUDO 1990-1997 (TA01R, TA01W, TD01W)</t>
  </si>
  <si>
    <t>D6R525B</t>
  </si>
  <si>
    <t>(R) MITSUBISHI GRANDIS NA4W (03-11)</t>
  </si>
  <si>
    <t>E6R160B</t>
  </si>
  <si>
    <t>(R) MAZDA CX-7 ER (06-12)</t>
  </si>
  <si>
    <t>H6F139B</t>
  </si>
  <si>
    <t>(F) SUZUKI SWIFT ZC11 / ZD11 (04-10)</t>
  </si>
  <si>
    <t>Z6R659S</t>
  </si>
  <si>
    <t>(Rr) Mondeo IV(06-)</t>
  </si>
  <si>
    <t>Q6R906S</t>
  </si>
  <si>
    <t xml:space="preserve">(Rr) OPEL ZAFIRA (F75) 02/99-07/12 / OPEL ASTRA H / OPEL ASTRA G  03/01-10/05 / OPEL ASTRA CLASSIC (L48) 01/09-&gt; </t>
  </si>
  <si>
    <t>A6R2185</t>
  </si>
  <si>
    <t>(Rr) TOYOTA NOAH / VOXY / ESQUIRE XR80 (14~22)</t>
  </si>
  <si>
    <t>Q6F905S</t>
  </si>
  <si>
    <t>(Fr) Peugeot 207 (06-)</t>
  </si>
  <si>
    <t>E6R534B</t>
  </si>
  <si>
    <t>(R) MAZDA3 BK12L 2003-2009</t>
  </si>
  <si>
    <t>L6F931S</t>
  </si>
  <si>
    <t>Fr Cruze brake disk 2010 (dia. 276 mm) / Opel Astra</t>
  </si>
  <si>
    <t>C6F597B</t>
  </si>
  <si>
    <t>(F) ACCORD CL 2003-2008 LHD</t>
  </si>
  <si>
    <t>X6R901S</t>
  </si>
  <si>
    <t>(R) AUDI A3 (8P1) 05/03-08/12 / AUDI A3 Convertible (8P7) 04/08-05/13 / AUDI A3 Sportback (8PA) 09/04-03/13 / SEAT ALTEA (5P1) 03/04-&gt; / SEAT ALTEA XL (5P5, 5P8) 10/06-&gt; / SEAT LEON (1P1) 05/05-12/12 / SEAT LEON (5F1) 09/12-&gt;</t>
  </si>
  <si>
    <t>H6R219B</t>
  </si>
  <si>
    <t>(R) SUZUKI SX4 GYA / GYB (06-14)</t>
  </si>
  <si>
    <t>E6F222B</t>
  </si>
  <si>
    <t>(F) MAZDA 6 GG (02-07)</t>
  </si>
  <si>
    <t>AA6F3050</t>
  </si>
  <si>
    <t>(F) ZEEKR 001 SEA1 (21~)</t>
  </si>
  <si>
    <t>AA6R2591</t>
  </si>
  <si>
    <t>(R) CHERY TIGGO 4 PRO T19FL (20~)</t>
  </si>
  <si>
    <t>D6F604B</t>
  </si>
  <si>
    <t>(F) PAJERO PININ H77W 1998-2007</t>
  </si>
  <si>
    <t>A6F601B</t>
  </si>
  <si>
    <t>(F) RAV4 XA10 1994-2000</t>
  </si>
  <si>
    <t>E6F607B</t>
  </si>
  <si>
    <t>(F) TRIBUTE EP 2001-2006</t>
  </si>
  <si>
    <t>D6F605B</t>
  </si>
  <si>
    <t>(F) COLT Z34A 2004-2012</t>
  </si>
  <si>
    <t>C6R251B</t>
  </si>
  <si>
    <t>(R) CROSSTOUR TF 2009-2015</t>
  </si>
  <si>
    <t>B6F175B</t>
  </si>
  <si>
    <t>(F) NP 300 PICKUP D22SS 2010 -</t>
  </si>
  <si>
    <t>A6F2823</t>
  </si>
  <si>
    <t>(F) TOYOTA YARIS MXPH10 (20-)</t>
  </si>
  <si>
    <t>A6R2822</t>
  </si>
  <si>
    <t>(R) TOYOTA PRIUS ALPHA XW40 (11-21)</t>
  </si>
  <si>
    <t>A6F2821</t>
  </si>
  <si>
    <t>(F) TOYOTA RUSH J210E,  (06-16)</t>
  </si>
  <si>
    <t>AA6F2730</t>
  </si>
  <si>
    <t>(F) GEELY MONJARO KX11 (21~)</t>
  </si>
  <si>
    <t>AA6F2776</t>
  </si>
  <si>
    <t>(F) TANK 500 P03 (21~)</t>
  </si>
  <si>
    <t>AA6R2756</t>
  </si>
  <si>
    <t>(R) GEELY COOLRAY SX11 (19~)</t>
  </si>
  <si>
    <t>AA6F2733</t>
  </si>
  <si>
    <t>(F) GEELY COOLRAY SX11 (19~)</t>
  </si>
  <si>
    <t>AA6R2754</t>
  </si>
  <si>
    <t>(R) GEELY MONJARO KX11 (21~)</t>
  </si>
  <si>
    <t>AA6F2603</t>
  </si>
  <si>
    <t>(F) TANK 300 / 330 (20~)</t>
  </si>
  <si>
    <t>AA6F3142</t>
  </si>
  <si>
    <t>(F) EXEED RX M3X (23~)</t>
  </si>
  <si>
    <t>AA6R3178</t>
  </si>
  <si>
    <t>(R) VOYAH FREE (21~25)</t>
  </si>
  <si>
    <t>D6F515B</t>
  </si>
  <si>
    <t>(F) MITSUBISHI PAJERO SPORT / CHALLENGER K94W (98-08)</t>
  </si>
  <si>
    <t>A6R424B</t>
  </si>
  <si>
    <t>(R) TOYOTA AVENSIS T250 (03-08)</t>
  </si>
  <si>
    <t>AA6F3253</t>
  </si>
  <si>
    <t>(F) CHANGAN CS35 PLUS SC7144 (20~)</t>
  </si>
  <si>
    <t>AA6F3210</t>
  </si>
  <si>
    <t>(F) LIXIANG L9 X01 (22~)</t>
  </si>
  <si>
    <t>AA6R3181</t>
  </si>
  <si>
    <t>(R) GAC GS8 GPMA-L (21~)</t>
  </si>
  <si>
    <t>AA6F3148</t>
  </si>
  <si>
    <t>(F) GAC GS8 GPMA-L (21~)</t>
  </si>
  <si>
    <t>AA6R3236</t>
  </si>
  <si>
    <t>(R) LIXIANG L9 X01 (22~)</t>
  </si>
  <si>
    <t>AA6R3078</t>
  </si>
  <si>
    <t>(R) ZEEKR 001 SEA1 (21~)</t>
  </si>
  <si>
    <t>AA6F3146</t>
  </si>
  <si>
    <t>(F) VOYAH FREE (21~25)</t>
  </si>
  <si>
    <t>U6R2868</t>
  </si>
  <si>
    <t>(Rr) GL/GLE/GLS-Class X166 2012-2018, dia. 345</t>
  </si>
  <si>
    <t>U6F2867</t>
  </si>
  <si>
    <t>(Fr) GL/GLE/GLS-Class X166 2012-2018, dia. 375</t>
  </si>
  <si>
    <t>U6R2866</t>
  </si>
  <si>
    <t>(Rr) E-Class W212/W211, CLS-Class C218/C219, GLK-Class X204, dia. 300 mm</t>
  </si>
  <si>
    <t>T6F2872</t>
  </si>
  <si>
    <t>(R) AUDI A4/A6/A8 2008-2015, Porsche Macan 95B 2014-2018, dia. 330 mm</t>
  </si>
  <si>
    <t>AA6R2590</t>
  </si>
  <si>
    <t>(R) CHERY TIGGO 7 PRO T1X (20~)</t>
  </si>
  <si>
    <t>V6R2874</t>
  </si>
  <si>
    <t>(Rr) Volvo S60/S80/V60/V80 2006-2016</t>
  </si>
  <si>
    <t>AA6F2589</t>
  </si>
  <si>
    <t>(F) CHERY TIGGO 7 PRO T1X (20~)</t>
  </si>
  <si>
    <t>AA6F2585</t>
  </si>
  <si>
    <t>(F) CHANGAN CS55 PLUS (21~)</t>
  </si>
  <si>
    <t>AA6F3141</t>
  </si>
  <si>
    <t>(F) CHANGAN UNI-V  SC7154 (23~)</t>
  </si>
  <si>
    <t>AA6R2584</t>
  </si>
  <si>
    <t>(R) CHANGAN CS75 PLUS (22~)</t>
  </si>
  <si>
    <t>AA6F2583</t>
  </si>
  <si>
    <t>(F) CHANGAN CS75 PLUS (22~)</t>
  </si>
  <si>
    <t>AA6R3172</t>
  </si>
  <si>
    <t>(R) CHANGAN UNI-V SC7154 (23~)</t>
  </si>
  <si>
    <t>AA6F2581</t>
  </si>
  <si>
    <t>(F) CHANGAN UNI-K (20~)</t>
  </si>
  <si>
    <t>AA6R2582</t>
  </si>
  <si>
    <t>(R) CHANGAN UNI-K (20~)</t>
  </si>
  <si>
    <t>AA6R2580</t>
  </si>
  <si>
    <t>(R) CHANGAN UNI-T (20~)</t>
  </si>
  <si>
    <t>AA6F2579</t>
  </si>
  <si>
    <t>(F) CHANGAN UNI-T (20~)</t>
  </si>
  <si>
    <t>AA6F2786</t>
  </si>
  <si>
    <t>(F) OMODA C5 T34 (22~)</t>
  </si>
  <si>
    <t>A6F223B</t>
  </si>
  <si>
    <t>(F) TOYOTA YARIS NSP90L (05-10)</t>
  </si>
  <si>
    <t>AA6R3175</t>
  </si>
  <si>
    <t>(R) JAECOO J7 T1EJ (23~)</t>
  </si>
  <si>
    <t>AA6F2778</t>
  </si>
  <si>
    <t>(F) JAECOO J7 T1EJ (23~)</t>
  </si>
  <si>
    <t>AA6F2780</t>
  </si>
  <si>
    <t>(F) JETOUR DASHING (22~)</t>
  </si>
  <si>
    <t>AA6R2604</t>
  </si>
  <si>
    <t>(R) TANK 300 / 330 (20~)</t>
  </si>
  <si>
    <t>AA6F2605</t>
  </si>
  <si>
    <t>(F) HAVAL JOLION HYBRID B30 (21~)</t>
  </si>
  <si>
    <t>AA6R2606</t>
  </si>
  <si>
    <t>(R) HAVAL JOLION HYBRID B30 (21~)</t>
  </si>
  <si>
    <t>AA6F2609</t>
  </si>
  <si>
    <t>(F) HAVAL H6 B30 (20~)</t>
  </si>
  <si>
    <t>AA6R2610</t>
  </si>
  <si>
    <t>(R) HAVAL H6 B30 (20)~</t>
  </si>
  <si>
    <t>AA6F2680</t>
  </si>
  <si>
    <t>(F) CHERY TIGGO 8 PRO T18 (22~)</t>
  </si>
  <si>
    <t>U6F2856</t>
  </si>
  <si>
    <t>(Fr) C-Class W205 стандартная тормозная система, dia. 295 mm</t>
  </si>
  <si>
    <t>T6F2869</t>
  </si>
  <si>
    <t>(Fr) Audi Q5 2008-2017, dia. 320 mm</t>
  </si>
  <si>
    <t>U6R2855</t>
  </si>
  <si>
    <t>(Rr) C-Class W205</t>
  </si>
  <si>
    <t>B6R221B</t>
  </si>
  <si>
    <t>(R) NISSAN TIIDA C11E (04-12)</t>
  </si>
  <si>
    <t>T6F2871</t>
  </si>
  <si>
    <t>(Fr) Audi A4 B8, Audi Q5 2010-2017, dia. 320 mm</t>
  </si>
  <si>
    <t>U6F2865</t>
  </si>
  <si>
    <t>(Fr) C-Class W204 C300/C320d/C350, E-Class W212 перфорация, dia. 322 mm</t>
  </si>
  <si>
    <t>U6F2862</t>
  </si>
  <si>
    <t>(Fr) C-Class W204, dia. 288 mm</t>
  </si>
  <si>
    <t>U6F2863</t>
  </si>
  <si>
    <t>(R) A-Class W176, CLA-Class C117 , dia. 295 mm</t>
  </si>
  <si>
    <t>U6F2864</t>
  </si>
  <si>
    <t>(Fr) GL-Class X164 2006-2012, dia. 375 mm</t>
  </si>
  <si>
    <t>U6F2861</t>
  </si>
  <si>
    <t>(Fr) GL/GLE/GLS-Class X166 2012-2018, dia. 390</t>
  </si>
  <si>
    <t>U6F2859</t>
  </si>
  <si>
    <t>(Fr) C-Class W204 C300/C320d/C350, E-Class W212 стандартная тормозная система, dia. 322 mm</t>
  </si>
  <si>
    <t>U6R2860</t>
  </si>
  <si>
    <t>(Rr) M-Class W164 2005-2012, dia. 330 mm</t>
  </si>
  <si>
    <t>T6F2870</t>
  </si>
  <si>
    <t>(Fr) Audi A4 B8, Audi Q5 2010-2017, Porsche Macan 95B 2014-2018, dia. 345 mm</t>
  </si>
  <si>
    <t>U6F2858</t>
  </si>
  <si>
    <t>(Fr) C-Class W204 стандартная тормозная система, dia. 295 mm</t>
  </si>
  <si>
    <t>V6F2873</t>
  </si>
  <si>
    <t>(Fr) Volvo S60/S80/V60/V80 2006-2016, Land Rover Freelander II L359, Ford S-Max, Galaxy 2008-2015, dia. 316 mm</t>
  </si>
  <si>
    <t>U6F2857</t>
  </si>
  <si>
    <t>(Fr) C-Class W204 AMG Package, dia. 295 mm</t>
  </si>
  <si>
    <t>C6F2836</t>
  </si>
  <si>
    <t>(F) HONDA FREED GB3 / GB4 (08-16)</t>
  </si>
  <si>
    <t>H6F2831</t>
  </si>
  <si>
    <t>(F) SUZUKI HUSTLER MR31S / MR41S (14-19)</t>
  </si>
  <si>
    <t>H6F2834</t>
  </si>
  <si>
    <t>(F) SUZUKI SWIFT ZC83S (16-23)</t>
  </si>
  <si>
    <t>E6R073B</t>
  </si>
  <si>
    <t>(R) MAZDA 3 BL (09-13)</t>
  </si>
  <si>
    <t>F6R2827</t>
  </si>
  <si>
    <t>(R) SUBARU FORESTER SK (18-24)</t>
  </si>
  <si>
    <t>B6F2843</t>
  </si>
  <si>
    <t>(F) NISSAN NOTE E13 (20-)</t>
  </si>
  <si>
    <t>C6F2840</t>
  </si>
  <si>
    <t>(F) CR-V RW1 / RW2 (18-22)</t>
  </si>
  <si>
    <t>C6F2839</t>
  </si>
  <si>
    <t>(F) HONDA CR-V RT5 / RT6 (18-22)</t>
  </si>
  <si>
    <t>C6R2838</t>
  </si>
  <si>
    <t>(R) HONDA FREED GB7 / GB8 (16-24)</t>
  </si>
  <si>
    <t>C6F2837</t>
  </si>
  <si>
    <t>(F) HONDA FREED GB7 / GB8 (16-24)</t>
  </si>
  <si>
    <t>A6F2819</t>
  </si>
  <si>
    <t>(F) LEXUS RX AGL2#,GGL2#,GYL25/TOYOTA CROWN TZSH35 2022-</t>
  </si>
  <si>
    <t>F6R2828</t>
  </si>
  <si>
    <t>B6F2848</t>
  </si>
  <si>
    <t>(F) NISSAN SERENA C27 (16-22)</t>
  </si>
  <si>
    <t>A6F609B</t>
  </si>
  <si>
    <t>(F) LS 400 UCF21L 1997-2000</t>
  </si>
  <si>
    <t>E6F2852</t>
  </si>
  <si>
    <t>(F) MAZDA 3 BP (19-)</t>
  </si>
  <si>
    <t>A6F2815</t>
  </si>
  <si>
    <t>(F) TOYOTA YARIS CROSS MXPB10 / PRIUS ZVW60</t>
  </si>
  <si>
    <t>A6F2816</t>
  </si>
  <si>
    <t>(F) TOYOTA RAIZE / DAIHATSU ROCKY A200 (19-)</t>
  </si>
  <si>
    <t>A6R2817</t>
  </si>
  <si>
    <t>(R) TOYOTA YARIS CROSS XP210 (20-)</t>
  </si>
  <si>
    <t>A6F2818</t>
  </si>
  <si>
    <t>(F) TOYOTA ROOMY M900 (16-)</t>
  </si>
  <si>
    <t>H6F2830</t>
  </si>
  <si>
    <t>(F) SUZUKI SOLIO MA36S/MA46S, SPACIA, HUSTLER</t>
  </si>
  <si>
    <t>B6R2842</t>
  </si>
  <si>
    <t>(R) Nissan X-trail T33, Murano Z53</t>
  </si>
  <si>
    <t>Brambo</t>
  </si>
  <si>
    <t>Откл</t>
  </si>
  <si>
    <t>Brembo</t>
  </si>
  <si>
    <t>08C04611</t>
  </si>
  <si>
    <t>09C04711</t>
  </si>
  <si>
    <t>08C66111</t>
  </si>
  <si>
    <t>08A02910</t>
  </si>
  <si>
    <t>08C24710</t>
  </si>
  <si>
    <t>09C92911</t>
  </si>
  <si>
    <t>09B26510</t>
  </si>
  <si>
    <t>09A20411</t>
  </si>
  <si>
    <t>09A41711</t>
  </si>
  <si>
    <t>09D69311</t>
  </si>
  <si>
    <t>09A96611</t>
  </si>
  <si>
    <t>09A71711</t>
  </si>
  <si>
    <t>09B04111</t>
  </si>
  <si>
    <t>09B63610</t>
  </si>
  <si>
    <t>09A86610</t>
  </si>
  <si>
    <t>09C14510</t>
  </si>
  <si>
    <t>09B26610</t>
  </si>
  <si>
    <t>08A15010</t>
  </si>
  <si>
    <t>08B64610</t>
  </si>
  <si>
    <t>08B04510</t>
  </si>
  <si>
    <t>08A33510</t>
  </si>
  <si>
    <t>09A96710</t>
  </si>
  <si>
    <t>08A42910</t>
  </si>
  <si>
    <t>08A11110</t>
  </si>
  <si>
    <t>08A33110</t>
  </si>
  <si>
    <t>09B04310</t>
  </si>
  <si>
    <t>09A38610</t>
  </si>
  <si>
    <t>09B06310</t>
  </si>
  <si>
    <t>08A15510</t>
  </si>
  <si>
    <t/>
  </si>
  <si>
    <t>09B63410</t>
  </si>
  <si>
    <t>09A33421</t>
  </si>
  <si>
    <t>08D41811</t>
  </si>
  <si>
    <t>09C49911</t>
  </si>
  <si>
    <t>09C65411</t>
  </si>
  <si>
    <t>09A33410</t>
  </si>
  <si>
    <t>09A63721</t>
  </si>
  <si>
    <t>09A86414</t>
  </si>
  <si>
    <t>09B62711</t>
  </si>
  <si>
    <t>09A10911</t>
  </si>
  <si>
    <t>09A71611</t>
  </si>
  <si>
    <t>09C93011</t>
  </si>
  <si>
    <t>09C54511</t>
  </si>
  <si>
    <t>09C71011</t>
  </si>
  <si>
    <t>08A53420</t>
  </si>
  <si>
    <t>09A87011</t>
  </si>
  <si>
    <t>09A45514</t>
  </si>
  <si>
    <t>08C25210</t>
  </si>
  <si>
    <t>09B46110</t>
  </si>
  <si>
    <t>09A86810</t>
  </si>
  <si>
    <t>09C64811</t>
  </si>
  <si>
    <t>09A73811</t>
  </si>
  <si>
    <t>09A70710</t>
  </si>
  <si>
    <t>09A63410</t>
  </si>
  <si>
    <t>08A91210</t>
  </si>
  <si>
    <t>09A45010</t>
  </si>
  <si>
    <t>09B63111</t>
  </si>
  <si>
    <t>09A53810</t>
  </si>
  <si>
    <t>09B63711</t>
  </si>
  <si>
    <t>08A35510</t>
  </si>
  <si>
    <t>09A53520</t>
  </si>
  <si>
    <t>09B54511</t>
  </si>
  <si>
    <t>09D41311</t>
  </si>
  <si>
    <t>09B96810</t>
  </si>
  <si>
    <t>08A71510</t>
  </si>
  <si>
    <t>09B26910</t>
  </si>
  <si>
    <t>09A11310</t>
  </si>
  <si>
    <t>09B27210</t>
  </si>
  <si>
    <t>08A75510</t>
  </si>
  <si>
    <t>08A63510</t>
  </si>
  <si>
    <t>09B56510</t>
  </si>
  <si>
    <t>08A53430</t>
  </si>
  <si>
    <t>09A29614</t>
  </si>
  <si>
    <t>09B49610</t>
  </si>
  <si>
    <t>09A09610</t>
  </si>
  <si>
    <t>09B64710</t>
  </si>
  <si>
    <t>09A11010</t>
  </si>
  <si>
    <t>08A14710</t>
  </si>
  <si>
    <t>09A71311</t>
  </si>
  <si>
    <t>08A11471</t>
  </si>
  <si>
    <t>08C42311</t>
  </si>
  <si>
    <t>08C54611</t>
  </si>
  <si>
    <t>09A96814</t>
  </si>
  <si>
    <t>09A14210</t>
  </si>
  <si>
    <t>09A05510</t>
  </si>
  <si>
    <t>09A86511</t>
  </si>
  <si>
    <t>08A11210</t>
  </si>
  <si>
    <t>09B59110</t>
  </si>
  <si>
    <t>08A33310</t>
  </si>
  <si>
    <t>09A40710</t>
  </si>
  <si>
    <t>09A14840</t>
  </si>
  <si>
    <t>08A75520</t>
  </si>
  <si>
    <t>09A27114</t>
  </si>
  <si>
    <t>09A91314</t>
  </si>
  <si>
    <t>08A71520</t>
  </si>
  <si>
    <t>Остаток</t>
  </si>
  <si>
    <t>SRC_SHEET</t>
  </si>
  <si>
    <t>Отчет</t>
  </si>
  <si>
    <t>COL_OWN</t>
  </si>
  <si>
    <t>COL_C1</t>
  </si>
  <si>
    <t>HAS_C2</t>
  </si>
  <si>
    <t>COL_C2</t>
  </si>
  <si>
    <t>HAS_CAT</t>
  </si>
  <si>
    <t>COL_CAT</t>
  </si>
  <si>
    <t>HAS_SALES</t>
  </si>
  <si>
    <t>COL_SALES</t>
  </si>
  <si>
    <t>FIRST_ROW</t>
  </si>
  <si>
    <t>HAS_STOCK</t>
  </si>
  <si>
    <t>COL_STOCK</t>
  </si>
  <si>
    <t>HAS_CODE</t>
  </si>
  <si>
    <t>COL_CODE</t>
  </si>
  <si>
    <t>МЕТОДИЧКА: как считается анализ цен конкурентов</t>
  </si>
  <si>
    <t>ПАРАМЕТРЫ РАСЧЁТА - эти ячейки можно менять руками, все формулы пересчитаются</t>
  </si>
  <si>
    <t>Медиана Ratio по выборке, %</t>
  </si>
  <si>
    <t>MAD (медианное абсолютное отклонение), %</t>
  </si>
  <si>
    <t>MADn = MAD x 1.4826, %</t>
  </si>
  <si>
    <t>Порог T1: Норма / Лёгкое отклонение, %</t>
  </si>
  <si>
    <t>Порог T2: Лёгкое / Заметный разброс, %</t>
  </si>
  <si>
    <t>Порог T3: Заметный / Выброс, %</t>
  </si>
  <si>
    <t>Порог T4: Выброс / Экстремальный, %</t>
  </si>
  <si>
    <t>Минимальная значимая разница, руб</t>
  </si>
  <si>
    <t>Минимальная значимая разница, доля от нашей цены</t>
  </si>
  <si>
    <t>Полоса паритета (плюс-минус), %</t>
  </si>
  <si>
    <t>Код</t>
  </si>
  <si>
    <t>Отклонение к конк.1, %</t>
  </si>
  <si>
    <t>Ratio конк.1, %</t>
  </si>
  <si>
    <t>Разница конк.1, руб</t>
  </si>
  <si>
    <t>Уровень конк.1</t>
  </si>
  <si>
    <t>Среднее отклонение, %</t>
  </si>
  <si>
    <t>Макс. разница, руб</t>
  </si>
  <si>
    <t>Итоговый уровень (число)</t>
  </si>
  <si>
    <t>Итоговый уровень</t>
  </si>
  <si>
    <t>Вес продаж К1</t>
  </si>
  <si>
    <t>Вклад продаж К1</t>
  </si>
  <si>
    <t>Вес остатка К1, руб</t>
  </si>
  <si>
    <t>Вклад остатка К1</t>
  </si>
  <si>
    <t>Показатель</t>
  </si>
  <si>
    <t>Позиций в расчёте, шт</t>
  </si>
  <si>
    <t>Доля позиций, где мы дешевле, %</t>
  </si>
  <si>
    <t>Доля позиций, где мы дороже, %</t>
  </si>
  <si>
    <t>Доля позиций в паритете, %</t>
  </si>
  <si>
    <t>Отклонение к конк.2, %</t>
  </si>
  <si>
    <t>Ratio конк.2, %</t>
  </si>
  <si>
    <t>Разница конк.2, руб</t>
  </si>
  <si>
    <t>Уровень конк.2</t>
  </si>
  <si>
    <t>Вес продаж К2</t>
  </si>
  <si>
    <t>Вклад продаж К2</t>
  </si>
  <si>
    <t>Вес остатка К2, руб</t>
  </si>
  <si>
    <t>Вклад остатка К2</t>
  </si>
  <si>
    <t>Среднее отклонение (все позиции), %</t>
  </si>
  <si>
    <t>Отклонение по категории A (все позиции), %</t>
  </si>
  <si>
    <t>Отклонение по категории B (все позиции), %</t>
  </si>
  <si>
    <t>Отклонение по категории C (все позиции), %</t>
  </si>
  <si>
    <t>Среднее без выбросов (мягкая очистка), %</t>
  </si>
  <si>
    <t>Отклонение по категории A (мягкая), %</t>
  </si>
  <si>
    <t>Отклонение по категории B (мягкая), %</t>
  </si>
  <si>
    <t>Отклонение по категории C (мягкая), %</t>
  </si>
  <si>
    <t>Среднее без выбросов (грубая очистка), %</t>
  </si>
  <si>
    <t>Отклонение по категории A (грубая), %</t>
  </si>
  <si>
    <t>Отклонение по категории B (грубая), %</t>
  </si>
  <si>
    <t>Отклонение по категории C (грубая), %</t>
  </si>
  <si>
    <t>Сигма (стандартное отклонение), %</t>
  </si>
  <si>
    <t>Медиана отклонения, %</t>
  </si>
  <si>
    <t>Средневзвешенное отклонение (по продажам), %</t>
  </si>
  <si>
    <t>Средневзвешенное отклонение (по остаткам), %</t>
  </si>
  <si>
    <t>ПОЗИЦИОНИРОВАНИЕ</t>
  </si>
  <si>
    <t>Доля позиций с серьёзным расхождением (Выброс и выше), %</t>
  </si>
  <si>
    <t>Деньги в остатках по таким позициям, руб</t>
  </si>
  <si>
    <t>Лист-источник: Отчет    Строк в расчёте: 338    Пересчитано: 05.09.2026 13:22</t>
  </si>
  <si>
    <t>Brambo, %</t>
  </si>
  <si>
    <t>\</t>
  </si>
  <si>
    <t>Категория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</si>
</sst>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C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E1"/>
        <bgColor indexed="64"/>
      </patternFill>
    </fill>
    <fill>
      <patternFill patternType="solid">
        <fgColor rgb="FFFFEBCD"/>
        <bgColor indexed="64"/>
      </patternFill>
    </fill>
  </fills>
  <borders count="3">
    <border>
      <left/>
      <right/>
      <top/>
      <bottom/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43" fontId="1" fillId="0" borderId="0" xfId="1" applyFont="1"/>
    <xf numFmtId="43" fontId="2" fillId="2" borderId="0" xfId="1" applyFont="1" applyFill="1" applyAlignment="1">
      <alignment horizontal="center" wrapText="1"/>
    </xf>
    <xf numFmtId="43" fontId="0" fillId="0" borderId="0" xfId="1" applyFont="1"/>
    <xf numFmtId="9" fontId="3" fillId="0" borderId="0" xfId="2" applyFont="1"/>
    <xf numFmtId="9" fontId="2" fillId="2" borderId="0" xfId="2" applyFont="1" applyFill="1" applyAlignment="1">
      <alignment horizontal="center" wrapText="1"/>
    </xf>
    <xf numFmtId="9" fontId="0" fillId="0" borderId="0" xfId="2" applyFont="1"/>
    <xf numFmtId="43" fontId="2" fillId="3" borderId="0" xfId="1" applyFont="1" applyFill="1" applyAlignment="1">
      <alignment horizontal="center" wrapText="1"/>
    </xf>
    <xf numFmtId="43" fontId="0" fillId="4" borderId="0" xfId="1" applyFont="1" applyFill="1"/>
    <xf numFmtId="9" fontId="2" fillId="3" borderId="0" xfId="2" applyFont="1" applyFill="1" applyAlignment="1">
      <alignment horizontal="center" wrapText="1"/>
    </xf>
    <xf numFmtId="164" fontId="0" fillId="0" borderId="0" xfId="1" applyNumberFormat="1" applyFont="1"/>
    <xf numFmtId="164" fontId="1" fillId="0" borderId="0" xfId="1" applyNumberFormat="1" applyFont="1"/>
    <xf numFmtId="164" fontId="2" fillId="2" borderId="0" xfId="1" applyNumberFormat="1" applyFont="1" applyFill="1" applyAlignment="1">
      <alignment horizontal="center" wrapText="1"/>
    </xf>
    <xf numFmtId="43" fontId="5" fillId="0" borderId="0" xfId="1" applyFont="1" applyFill="1" applyBorder="1" applyAlignment="1">
      <alignment wrapText="1"/>
    </xf>
    <xf numFmtId="43" fontId="1" fillId="0" borderId="0" xfId="1" applyFont="1" applyFill="1" applyBorder="1" applyAlignment="1"/>
    <xf numFmtId="43" fontId="1" fillId="0" borderId="0" xfId="1" applyFont="1" applyFill="1" applyBorder="1" applyAlignment="1">
      <alignment wrapText="1"/>
    </xf>
    <xf numFmtId="0" fontId="6" fillId="0" borderId="0" xfId="0" applyFont="1"/>
    <xf numFmtId="0" fontId="5" fillId="5" borderId="0" xfId="0" applyFont="1" applyFill="1"/>
    <xf numFmtId="0" fontId="0" fillId="6" borderId="1" xfId="0" applyFill="1" applyBorder="1"/>
    <xf numFmtId="165" fontId="0" fillId="6" borderId="1" xfId="0" applyNumberFormat="1" applyFill="1" applyBorder="1"/>
    <xf numFmtId="0" fontId="5" fillId="6" borderId="1" xfId="0" applyFont="1" applyFill="1" applyBorder="1"/>
    <xf numFmtId="165" fontId="5" fillId="6" borderId="1" xfId="0" applyNumberFormat="1" applyFont="1" applyFill="1" applyBorder="1"/>
    <xf numFmtId="3" fontId="5" fillId="6" borderId="1" xfId="0" applyNumberFormat="1" applyFont="1" applyFill="1" applyBorder="1"/>
    <xf numFmtId="0" fontId="5" fillId="5" borderId="0" xfId="0" applyFont="1" applyFill="1" applyAlignment="1">
      <alignment horizontal="center" wrapText="1"/>
    </xf>
    <xf numFmtId="0" fontId="7" fillId="5" borderId="2" xfId="0" applyFont="1" applyFill="1" applyBorder="1"/>
    <xf numFmtId="0" fontId="0" fillId="6" borderId="2" xfId="0" applyFill="1" applyBorder="1" applyAlignment="1">
      <alignment horizontal="left" vertical="top" wrapText="1"/>
    </xf>
    <xf numFmtId="2" fontId="0" fillId="6" borderId="2" xfId="0" applyNumberFormat="1" applyFill="1" applyBorder="1" applyAlignment="1">
      <alignment horizontal="right"/>
    </xf>
    <xf numFmtId="0" fontId="7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right"/>
    </xf>
    <xf numFmtId="1" fontId="0" fillId="6" borderId="2" xfId="0" applyNumberFormat="1" applyFill="1" applyBorder="1" applyAlignment="1">
      <alignment horizontal="right"/>
    </xf>
    <xf numFmtId="166" fontId="0" fillId="6" borderId="2" xfId="0" applyNumberFormat="1" applyFill="1" applyBorder="1" applyAlignment="1">
      <alignment horizontal="right"/>
    </xf>
    <xf numFmtId="3" fontId="0" fillId="6" borderId="2" xfId="0" applyNumberFormat="1" applyFill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right"/>
    </xf>
    <xf numFmtId="0" fontId="0" fillId="0" borderId="0" xfId="0" applyAlignment="1">
      <alignment vertical="top" wrapText="1"/>
    </xf>
    <xf numFmtId="0" fontId="5" fillId="0" borderId="0" xfId="0" applyFont="1"/>
    <xf numFmtId="43" fontId="5" fillId="0" borderId="0" xfId="1" applyFont="1" applyFill="1" applyBorder="1" applyAlignment="1"/>
  </cellXfs>
  <cellStyles count="3">
    <cellStyle name="Обычный" xfId="0" builtinId="0"/>
    <cellStyle name="Процентный" xfId="2" builtinId="5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Right="0"/>
  </sheetPr>
  <dimension ref="A1:AV340"/>
  <sheetViews>
    <sheetView tabSelected="1" workbookViewId="0">
      <pane ySplit="2" topLeftCell="A3" activePane="bottomLeft" state="frozen"/>
      <selection pane="bottomLeft" activeCell="V5" sqref="V5"/>
    </sheetView>
  </sheetViews>
  <sheetFormatPr defaultRowHeight="15" outlineLevelCol="1" x14ac:dyDescent="0.25"/>
  <cols>
    <col min="1" max="1" width="16" customWidth="1" outlineLevel="1"/>
    <col min="2" max="2" width="35" customWidth="1" outlineLevel="1"/>
    <col min="3" max="4" width="12" customWidth="1" outlineLevel="1"/>
    <col min="5" max="5" width="18" customWidth="1" outlineLevel="1"/>
    <col min="6" max="6" width="26" customWidth="1" outlineLevel="1"/>
    <col min="7" max="7" width="17" customWidth="1" outlineLevel="1"/>
    <col min="8" max="8" width="29" customWidth="1" outlineLevel="1"/>
    <col min="9" max="9" width="8.140625" customWidth="1" outlineLevel="1"/>
    <col min="10" max="10" width="13.5703125" style="5" customWidth="1" outlineLevel="1"/>
    <col min="11" max="11" width="9" customWidth="1" outlineLevel="1"/>
    <col min="12" max="12" width="12" style="5" customWidth="1" outlineLevel="1"/>
    <col min="13" max="13" width="38" customWidth="1"/>
    <col min="14" max="14" width="11.140625" style="12" customWidth="1"/>
    <col min="15" max="15" width="15" customWidth="1"/>
    <col min="16" max="16" width="16" customWidth="1"/>
    <col min="17" max="19" width="12.140625" style="5" customWidth="1"/>
    <col min="20" max="20" width="8.42578125" style="8" customWidth="1"/>
    <col min="21" max="22" width="19" style="5" customWidth="1"/>
    <col min="23" max="23" width="11.140625" style="5" customWidth="1"/>
    <col min="24" max="24" width="8.28515625" style="8" customWidth="1"/>
    <col min="27" max="27" width="14" customWidth="1"/>
    <col min="28" max="28" width="8" hidden="1" customWidth="1"/>
    <col min="29" max="29" width="12.7109375" hidden="1" customWidth="1"/>
    <col min="30" max="31" width="12" hidden="1" customWidth="1"/>
    <col min="32" max="32" width="8.7109375" hidden="1" customWidth="1"/>
    <col min="33" max="33" width="12.28515625" hidden="1" customWidth="1"/>
    <col min="34" max="34" width="9.42578125" hidden="1" customWidth="1"/>
    <col min="35" max="35" width="11.140625" hidden="1" customWidth="1"/>
    <col min="36" max="36" width="8.7109375" hidden="1" customWidth="1"/>
    <col min="37" max="37" width="14.7109375" hidden="1" customWidth="1"/>
    <col min="38" max="38" width="12.7109375" hidden="1" customWidth="1"/>
    <col min="39" max="39" width="15.85546875" hidden="1" customWidth="1"/>
    <col min="40" max="40" width="23" hidden="1" customWidth="1"/>
    <col min="41" max="41" width="10.85546875" hidden="1" customWidth="1"/>
    <col min="42" max="42" width="12.7109375" hidden="1" customWidth="1"/>
    <col min="43" max="43" width="12" hidden="1" customWidth="1"/>
    <col min="44" max="44" width="12.7109375" hidden="1" customWidth="1"/>
    <col min="45" max="46" width="10.85546875" hidden="1" customWidth="1"/>
    <col min="47" max="47" width="11.28515625" hidden="1" customWidth="1"/>
    <col min="48" max="48" width="10.28515625" hidden="1" customWidth="1"/>
  </cols>
  <sheetData>
    <row r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3"/>
      <c r="K1" s="1"/>
      <c r="L1" s="3"/>
      <c r="M1" s="1"/>
      <c r="N1" s="13"/>
      <c r="O1" s="1"/>
      <c r="P1" s="1"/>
      <c r="Q1" s="3"/>
      <c r="R1" s="3"/>
      <c r="S1" s="3"/>
      <c r="T1" s="6">
        <f>IFERROR(V1/U1,0)</f>
        <v>0.50044899893464656</v>
      </c>
      <c r="U1" s="3">
        <f>SUM(U3:U340)</f>
        <v>474211135.53277671</v>
      </c>
      <c r="V1" s="3">
        <f>SUM(V3:V340)</f>
        <v>237318488.0610401</v>
      </c>
    </row>
    <row r="2" spans="1:48" ht="30" customHeight="1" x14ac:dyDescent="0.25">
      <c r="A2" s="2" t="s">
        <v>1</v>
      </c>
      <c r="B2" s="2" t="s">
        <v>2</v>
      </c>
      <c r="C2" s="2" t="s">
        <v>3</v>
      </c>
      <c r="D2" s="2" t="s">
        <v>714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4" t="s">
        <v>9</v>
      </c>
      <c r="K2" s="2" t="s">
        <v>10</v>
      </c>
      <c r="L2" s="4" t="s">
        <v>11</v>
      </c>
      <c r="M2" s="2" t="s">
        <v>12</v>
      </c>
      <c r="N2" s="14" t="s">
        <v>13</v>
      </c>
      <c r="O2" s="2" t="s">
        <v>810</v>
      </c>
      <c r="P2" s="2" t="s">
        <v>886</v>
      </c>
      <c r="Q2" s="4" t="s">
        <v>14</v>
      </c>
      <c r="R2" s="4" t="s">
        <v>15</v>
      </c>
      <c r="S2" s="4" t="s">
        <v>16</v>
      </c>
      <c r="T2" s="7" t="s">
        <v>17</v>
      </c>
      <c r="U2" s="4" t="s">
        <v>18</v>
      </c>
      <c r="V2" s="4" t="s">
        <v>19</v>
      </c>
      <c r="W2" s="9" t="s">
        <v>712</v>
      </c>
      <c r="X2" s="11" t="s">
        <v>713</v>
      </c>
      <c r="Z2" s="15"/>
      <c r="AA2" s="15"/>
      <c r="AB2" s="25" t="s">
        <v>838</v>
      </c>
      <c r="AC2" s="25" t="s">
        <v>839</v>
      </c>
      <c r="AD2" s="25" t="s">
        <v>840</v>
      </c>
      <c r="AE2" s="25" t="s">
        <v>841</v>
      </c>
      <c r="AF2" s="25" t="s">
        <v>842</v>
      </c>
      <c r="AG2" s="25" t="s">
        <v>856</v>
      </c>
      <c r="AH2" s="25" t="s">
        <v>857</v>
      </c>
      <c r="AI2" s="25" t="s">
        <v>858</v>
      </c>
      <c r="AJ2" s="25" t="s">
        <v>859</v>
      </c>
      <c r="AK2" s="25" t="s">
        <v>843</v>
      </c>
      <c r="AL2" s="25" t="s">
        <v>844</v>
      </c>
      <c r="AM2" s="25" t="s">
        <v>845</v>
      </c>
      <c r="AN2" s="25" t="s">
        <v>846</v>
      </c>
      <c r="AO2" s="25" t="s">
        <v>847</v>
      </c>
      <c r="AP2" s="25" t="s">
        <v>848</v>
      </c>
      <c r="AQ2" s="25" t="s">
        <v>849</v>
      </c>
      <c r="AR2" s="25" t="s">
        <v>850</v>
      </c>
      <c r="AS2" s="25" t="s">
        <v>860</v>
      </c>
      <c r="AT2" s="25" t="s">
        <v>861</v>
      </c>
      <c r="AU2" s="25" t="s">
        <v>862</v>
      </c>
      <c r="AV2" s="25" t="s">
        <v>863</v>
      </c>
    </row>
    <row r="3" spans="1:48" x14ac:dyDescent="0.25">
      <c r="A3">
        <v>130909</v>
      </c>
      <c r="B3" t="s">
        <v>20</v>
      </c>
      <c r="C3" t="s">
        <v>21</v>
      </c>
      <c r="D3" t="s">
        <v>723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5">
        <v>1572.8193920000001</v>
      </c>
      <c r="K3" t="s">
        <v>27</v>
      </c>
      <c r="L3" s="5">
        <v>4859.8035503699994</v>
      </c>
      <c r="M3" t="s">
        <v>28</v>
      </c>
      <c r="N3" s="12">
        <v>8665</v>
      </c>
      <c r="O3">
        <v>141</v>
      </c>
      <c r="P3" t="s">
        <v>29</v>
      </c>
      <c r="Q3" s="5">
        <v>2210</v>
      </c>
      <c r="R3" s="5">
        <v>2154.7625670399998</v>
      </c>
      <c r="S3" s="10">
        <v>4130.8330178144997</v>
      </c>
      <c r="T3" s="8">
        <v>0.48754835578765071</v>
      </c>
      <c r="U3" s="5">
        <v>35793668.099362642</v>
      </c>
      <c r="V3" s="5">
        <v>17451144.02945314</v>
      </c>
      <c r="W3" s="5">
        <v>3460.75</v>
      </c>
      <c r="X3" s="8">
        <f>1-(S3/W3)</f>
        <v>-0.19362364164256296</v>
      </c>
      <c r="AB3">
        <f>A3</f>
        <v>130909</v>
      </c>
      <c r="AC3">
        <f>IFERROR(IF(OR(NOT(ISNUMBER(S3)),NOT(ISNUMBER(W3))),"",IF(OR(S3&lt;=0,W3&lt;=0),"",(1-S3/W3)*100)),"")</f>
        <v>-19.362364164256295</v>
      </c>
      <c r="AD3">
        <f>IF(AC3="","",(MAX(S3,W3)/MIN(S3,W3)-1)*100)</f>
        <v>19.362364164256295</v>
      </c>
      <c r="AE3">
        <f>IF(AC3="","",ABS(W3-S3))</f>
        <v>670.08301781449973</v>
      </c>
      <c r="AF3">
        <f>IF(AC3="","",IF(AND(AE3&lt;MAX(Расч!$B$11,S3*Расч!$B$12),IF(AD3&lt;Расч!$B$7,0,IF(AD3&lt;Расч!$B$8,1,IF(AD3&lt;Расч!$B$9,2,IF(AD3&lt;Расч!$B$10,3,4))))&gt;1),1,IF(AD3&lt;Расч!$B$7,0,IF(AD3&lt;Расч!$B$8,1,IF(AD3&lt;Расч!$B$9,2,IF(AD3&lt;Расч!$B$10,3,4))))))</f>
        <v>0</v>
      </c>
      <c r="AK3">
        <f>IF(AC3="","",AC3)</f>
        <v>-19.362364164256295</v>
      </c>
      <c r="AL3">
        <f>IF(AE3="","",AE3)</f>
        <v>670.08301781449973</v>
      </c>
      <c r="AM3">
        <f>IF(AF3="","",AF3)</f>
        <v>0</v>
      </c>
      <c r="AN3" t="str">
        <f>IF(AM3="","нет данных",CHOOSE(AM3+1,"Норма","Лёгкое отклонение","Заметный разброс","Выброс","Экстремальный выброс"))</f>
        <v>Норма</v>
      </c>
      <c r="AO3">
        <f>IF(OR(AC3="",NOT(ISNUMBER(N3))),0,MAX(N3,0))</f>
        <v>8665</v>
      </c>
      <c r="AP3">
        <f>IF(AC3="",0,AC3*AO3)</f>
        <v>-167774.88548328078</v>
      </c>
      <c r="AQ3">
        <f>IF(OR(AC3="",NOT(ISNUMBER(O3))),0,MAX(O3,0)*S3)</f>
        <v>582447.45551184448</v>
      </c>
      <c r="AR3">
        <f>IF(AC3="",0,AC3*AQ3)</f>
        <v>-11277559.7401648</v>
      </c>
    </row>
    <row r="4" spans="1:48" x14ac:dyDescent="0.25">
      <c r="A4">
        <v>130887</v>
      </c>
      <c r="B4" t="s">
        <v>30</v>
      </c>
      <c r="C4" t="s">
        <v>31</v>
      </c>
      <c r="D4" t="s">
        <v>736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s="5">
        <v>1802.5570560000001</v>
      </c>
      <c r="K4" t="s">
        <v>27</v>
      </c>
      <c r="L4" s="5">
        <v>5723.2443254700001</v>
      </c>
      <c r="M4" t="s">
        <v>32</v>
      </c>
      <c r="N4" s="12">
        <v>5756</v>
      </c>
      <c r="O4">
        <v>397</v>
      </c>
      <c r="P4" t="s">
        <v>29</v>
      </c>
      <c r="Q4" s="5">
        <v>2488</v>
      </c>
      <c r="R4" s="5">
        <v>2469.503166720001</v>
      </c>
      <c r="S4" s="10">
        <v>4864.7576766495004</v>
      </c>
      <c r="T4" s="8">
        <v>0.50784455965529085</v>
      </c>
      <c r="U4" s="5">
        <v>28001545.186794519</v>
      </c>
      <c r="V4" s="5">
        <v>14220432.385055389</v>
      </c>
      <c r="W4" s="5">
        <v>0</v>
      </c>
      <c r="X4" s="5"/>
    </row>
    <row r="5" spans="1:48" x14ac:dyDescent="0.25">
      <c r="A5">
        <v>1774891</v>
      </c>
      <c r="B5" t="s">
        <v>20</v>
      </c>
      <c r="C5" t="s">
        <v>33</v>
      </c>
      <c r="D5" t="s">
        <v>744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s="5">
        <v>1831.2742639999999</v>
      </c>
      <c r="K5" t="s">
        <v>27</v>
      </c>
      <c r="L5" s="5">
        <v>6012.8556820200001</v>
      </c>
      <c r="M5" t="s">
        <v>34</v>
      </c>
      <c r="N5" s="12">
        <v>5287</v>
      </c>
      <c r="O5">
        <v>12</v>
      </c>
      <c r="P5" t="s">
        <v>29</v>
      </c>
      <c r="Q5" s="5">
        <v>2606</v>
      </c>
      <c r="R5" s="5">
        <v>2508.8457416800002</v>
      </c>
      <c r="S5" s="10">
        <v>5110.9273297170002</v>
      </c>
      <c r="T5" s="8">
        <v>0.51102521046351967</v>
      </c>
      <c r="U5" s="5">
        <v>27021472.792213779</v>
      </c>
      <c r="V5" s="5">
        <v>13808653.820675321</v>
      </c>
      <c r="W5" s="5">
        <v>0</v>
      </c>
      <c r="X5" s="5"/>
    </row>
    <row r="6" spans="1:48" x14ac:dyDescent="0.25">
      <c r="A6">
        <v>130919</v>
      </c>
      <c r="B6" t="s">
        <v>20</v>
      </c>
      <c r="C6" t="s">
        <v>35</v>
      </c>
      <c r="D6" t="s">
        <v>745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s="5">
        <v>1907.485316</v>
      </c>
      <c r="K6" t="s">
        <v>27</v>
      </c>
      <c r="L6" s="5">
        <v>6367.2893025899994</v>
      </c>
      <c r="M6" t="s">
        <v>36</v>
      </c>
      <c r="N6" s="12">
        <v>4909</v>
      </c>
      <c r="O6">
        <v>379</v>
      </c>
      <c r="P6" t="s">
        <v>29</v>
      </c>
      <c r="Q6" s="5">
        <v>2689</v>
      </c>
      <c r="R6" s="5">
        <v>2613.25488292</v>
      </c>
      <c r="S6" s="10">
        <v>5412.1959072014997</v>
      </c>
      <c r="T6" s="8">
        <v>0.53790297176001656</v>
      </c>
      <c r="U6" s="5">
        <v>26568469.708452161</v>
      </c>
      <c r="V6" s="5">
        <v>14291258.811292401</v>
      </c>
      <c r="W6" s="5">
        <v>0</v>
      </c>
      <c r="X6" s="5"/>
    </row>
    <row r="7" spans="1:48" x14ac:dyDescent="0.25">
      <c r="A7">
        <v>156230</v>
      </c>
      <c r="B7" t="s">
        <v>30</v>
      </c>
      <c r="C7" t="s">
        <v>37</v>
      </c>
      <c r="D7" t="s">
        <v>746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s="5">
        <v>1731.31629</v>
      </c>
      <c r="K7" t="s">
        <v>27</v>
      </c>
      <c r="L7" s="5">
        <v>5174.7548305199998</v>
      </c>
      <c r="M7" t="s">
        <v>38</v>
      </c>
      <c r="N7" s="12">
        <v>4531</v>
      </c>
      <c r="O7">
        <v>312</v>
      </c>
      <c r="P7" t="s">
        <v>29</v>
      </c>
      <c r="Q7" s="5">
        <v>2393</v>
      </c>
      <c r="R7" s="5">
        <v>2371.9033172999998</v>
      </c>
      <c r="S7" s="10">
        <v>4398.5416059419986</v>
      </c>
      <c r="T7" s="8">
        <v>0.47162981072408411</v>
      </c>
      <c r="U7" s="5">
        <v>19929792.016523201</v>
      </c>
      <c r="V7" s="5">
        <v>9399484.0365231987</v>
      </c>
      <c r="W7" s="5">
        <v>4467.8999999999996</v>
      </c>
      <c r="X7" s="8">
        <f>1-(S7/W7)</f>
        <v>1.5523712271537149E-2</v>
      </c>
      <c r="Z7" s="16"/>
      <c r="AA7" s="16"/>
      <c r="AB7">
        <f>A7</f>
        <v>156230</v>
      </c>
      <c r="AC7">
        <f>IFERROR(IF(OR(NOT(ISNUMBER(S7)),NOT(ISNUMBER(W7))),"",IF(OR(S7&lt;=0,W7&lt;=0),"",(1-S7/W7)*100)),"")</f>
        <v>1.5523712271537149</v>
      </c>
      <c r="AD7">
        <f>IF(AC7="","",(MAX(S7,W7)/MIN(S7,W7)-1)*100)</f>
        <v>1.576849789582635</v>
      </c>
      <c r="AE7">
        <f>IF(AC7="","",ABS(W7-S7))</f>
        <v>69.358394058001068</v>
      </c>
      <c r="AF7">
        <f>IF(AC7="","",IF(AND(AE7&lt;MAX(Расч!$B$11,S7*Расч!$B$12),IF(AD7&lt;Расч!$B$7,0,IF(AD7&lt;Расч!$B$8,1,IF(AD7&lt;Расч!$B$9,2,IF(AD7&lt;Расч!$B$10,3,4))))&gt;1),1,IF(AD7&lt;Расч!$B$7,0,IF(AD7&lt;Расч!$B$8,1,IF(AD7&lt;Расч!$B$9,2,IF(AD7&lt;Расч!$B$10,3,4))))))</f>
        <v>0</v>
      </c>
      <c r="AK7">
        <f t="shared" ref="AK7:AK8" si="0">IF(AC7="","",AC7)</f>
        <v>1.5523712271537149</v>
      </c>
      <c r="AL7">
        <f t="shared" ref="AL7:AL8" si="1">IF(AE7="","",AE7)</f>
        <v>69.358394058001068</v>
      </c>
      <c r="AM7">
        <f t="shared" ref="AM7:AM8" si="2">IF(AF7="","",AF7)</f>
        <v>0</v>
      </c>
      <c r="AN7" t="str">
        <f t="shared" ref="AN7:AN8" si="3">IF(AM7="","нет данных",CHOOSE(AM7+1,"Норма","Лёгкое отклонение","Заметный разброс","Выброс","Экстремальный выброс"))</f>
        <v>Норма</v>
      </c>
      <c r="AO7">
        <f>IF(OR(AC7="",NOT(ISNUMBER(N7))),0,MAX(N7,0))</f>
        <v>4531</v>
      </c>
      <c r="AP7">
        <f t="shared" ref="AP7:AP8" si="4">IF(AC7="",0,AC7*AO7)</f>
        <v>7033.7940302334819</v>
      </c>
      <c r="AQ7">
        <f>IF(OR(AC7="",NOT(ISNUMBER(O7))),0,MAX(O7,0)*S7)</f>
        <v>1372344.9810539035</v>
      </c>
      <c r="AR7">
        <f t="shared" ref="AR7:AR8" si="5">IF(AC7="",0,AC7*AQ7)</f>
        <v>2130388.8623168897</v>
      </c>
    </row>
    <row r="8" spans="1:48" ht="15" customHeight="1" x14ac:dyDescent="0.25">
      <c r="A8">
        <v>130918</v>
      </c>
      <c r="B8" t="s">
        <v>20</v>
      </c>
      <c r="C8" t="s">
        <v>39</v>
      </c>
      <c r="D8" t="s">
        <v>725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s="5">
        <v>2136.6707259999998</v>
      </c>
      <c r="K8" t="s">
        <v>27</v>
      </c>
      <c r="L8" s="5">
        <v>6535.8854023800004</v>
      </c>
      <c r="M8" t="s">
        <v>40</v>
      </c>
      <c r="N8" s="12">
        <v>3536</v>
      </c>
      <c r="O8">
        <v>373</v>
      </c>
      <c r="P8" t="s">
        <v>29</v>
      </c>
      <c r="Q8" s="5">
        <v>2982</v>
      </c>
      <c r="R8" s="5">
        <v>2927.2388946200008</v>
      </c>
      <c r="S8" s="10">
        <v>5555.502592023</v>
      </c>
      <c r="T8" s="8">
        <v>0.49141554689728251</v>
      </c>
      <c r="U8" s="5">
        <v>19644257.16539333</v>
      </c>
      <c r="V8" s="5">
        <v>9653493.3783226218</v>
      </c>
      <c r="W8" s="5">
        <v>9289.23</v>
      </c>
      <c r="X8" s="8">
        <f>1-(S8/W8)</f>
        <v>0.4019415396084498</v>
      </c>
      <c r="Z8" s="17"/>
      <c r="AA8" s="17"/>
      <c r="AB8">
        <f>A8</f>
        <v>130918</v>
      </c>
      <c r="AC8">
        <f>IFERROR(IF(OR(NOT(ISNUMBER(S8)),NOT(ISNUMBER(W8))),"",IF(OR(S8&lt;=0,W8&lt;=0),"",(1-S8/W8)*100)),"")</f>
        <v>40.194153960844979</v>
      </c>
      <c r="AD8">
        <f>IF(AC8="","",(MAX(S8,W8)/MIN(S8,W8)-1)*100)</f>
        <v>67.207734064207997</v>
      </c>
      <c r="AE8">
        <f>IF(AC8="","",ABS(W8-S8))</f>
        <v>3733.7274079769995</v>
      </c>
      <c r="AF8">
        <f>IF(AC8="","",IF(AND(AE8&lt;MAX(Расч!$B$11,S8*Расч!$B$12),IF(AD8&lt;Расч!$B$7,0,IF(AD8&lt;Расч!$B$8,1,IF(AD8&lt;Расч!$B$9,2,IF(AD8&lt;Расч!$B$10,3,4))))&gt;1),1,IF(AD8&lt;Расч!$B$7,0,IF(AD8&lt;Расч!$B$8,1,IF(AD8&lt;Расч!$B$9,2,IF(AD8&lt;Расч!$B$10,3,4))))))</f>
        <v>3</v>
      </c>
      <c r="AK8">
        <f t="shared" si="0"/>
        <v>40.194153960844979</v>
      </c>
      <c r="AL8">
        <f t="shared" si="1"/>
        <v>3733.7274079769995</v>
      </c>
      <c r="AM8">
        <f t="shared" si="2"/>
        <v>3</v>
      </c>
      <c r="AN8" t="str">
        <f t="shared" si="3"/>
        <v>Выброс</v>
      </c>
      <c r="AO8">
        <f>IF(OR(AC8="",NOT(ISNUMBER(N8))),0,MAX(N8,0))</f>
        <v>3536</v>
      </c>
      <c r="AP8">
        <f t="shared" si="4"/>
        <v>142126.52840554784</v>
      </c>
      <c r="AQ8">
        <f>IF(OR(AC8="",NOT(ISNUMBER(O8))),0,MAX(O8,0)*S8)</f>
        <v>2072202.4668245791</v>
      </c>
      <c r="AR8">
        <f t="shared" si="5"/>
        <v>83290424.989589885</v>
      </c>
    </row>
    <row r="9" spans="1:48" ht="15" customHeight="1" x14ac:dyDescent="0.25">
      <c r="A9">
        <v>170242</v>
      </c>
      <c r="B9" t="s">
        <v>20</v>
      </c>
      <c r="C9" t="s">
        <v>41</v>
      </c>
      <c r="D9" t="s">
        <v>744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s="5">
        <v>2246.017018</v>
      </c>
      <c r="K9" t="s">
        <v>27</v>
      </c>
      <c r="L9" s="5">
        <v>6981.7995714600002</v>
      </c>
      <c r="M9" t="s">
        <v>42</v>
      </c>
      <c r="N9" s="12">
        <v>3507</v>
      </c>
      <c r="O9">
        <v>176</v>
      </c>
      <c r="P9" t="s">
        <v>29</v>
      </c>
      <c r="Q9" s="5">
        <v>3083</v>
      </c>
      <c r="R9" s="5">
        <v>3077.0433146599999</v>
      </c>
      <c r="S9" s="10">
        <v>5934.5296357409998</v>
      </c>
      <c r="T9" s="8">
        <v>0.49291701538124488</v>
      </c>
      <c r="U9" s="5">
        <v>20812395.432543691</v>
      </c>
      <c r="V9" s="5">
        <v>10258783.839543691</v>
      </c>
      <c r="W9" s="5">
        <v>0</v>
      </c>
      <c r="X9" s="5"/>
      <c r="Z9" s="17"/>
      <c r="AA9" s="17"/>
    </row>
    <row r="10" spans="1:48" ht="15" customHeight="1" x14ac:dyDescent="0.25">
      <c r="A10">
        <v>156219</v>
      </c>
      <c r="B10" t="s">
        <v>30</v>
      </c>
      <c r="C10" t="s">
        <v>43</v>
      </c>
      <c r="D10" t="s">
        <v>747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s="5">
        <v>1202.8092119999999</v>
      </c>
      <c r="K10" t="s">
        <v>27</v>
      </c>
      <c r="L10" s="5">
        <v>4069.14656934</v>
      </c>
      <c r="M10" t="s">
        <v>44</v>
      </c>
      <c r="N10" s="12">
        <v>3373</v>
      </c>
      <c r="O10">
        <v>157</v>
      </c>
      <c r="P10" t="s">
        <v>29</v>
      </c>
      <c r="Q10" s="5">
        <v>1694</v>
      </c>
      <c r="R10" s="5">
        <v>1647.8486204400001</v>
      </c>
      <c r="S10" s="10">
        <v>3458.774583939</v>
      </c>
      <c r="T10" s="8">
        <v>0.53156196468997674</v>
      </c>
      <c r="U10" s="5">
        <v>11666446.671626249</v>
      </c>
      <c r="V10" s="5">
        <v>6201439.3137204871</v>
      </c>
      <c r="W10" s="5">
        <v>0</v>
      </c>
      <c r="X10" s="5"/>
      <c r="Z10" s="17"/>
      <c r="AA10" s="17"/>
    </row>
    <row r="11" spans="1:48" x14ac:dyDescent="0.25">
      <c r="A11">
        <v>130913</v>
      </c>
      <c r="B11" t="s">
        <v>20</v>
      </c>
      <c r="C11" t="s">
        <v>45</v>
      </c>
      <c r="D11" t="s">
        <v>748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s="5">
        <v>1995.8459559999999</v>
      </c>
      <c r="K11" t="s">
        <v>27</v>
      </c>
      <c r="L11" s="5">
        <v>5751.0155120099998</v>
      </c>
      <c r="M11" t="s">
        <v>46</v>
      </c>
      <c r="N11" s="12">
        <v>3371</v>
      </c>
      <c r="O11">
        <v>111</v>
      </c>
      <c r="P11" t="s">
        <v>29</v>
      </c>
      <c r="Q11" s="5">
        <v>2780</v>
      </c>
      <c r="R11" s="5">
        <v>2734.308959720001</v>
      </c>
      <c r="S11" s="10">
        <v>4888.3631852085</v>
      </c>
      <c r="T11" s="8">
        <v>0.44622050220700821</v>
      </c>
      <c r="U11" s="5">
        <v>16478672.297337851</v>
      </c>
      <c r="V11" s="5">
        <v>7353121.4282228099</v>
      </c>
      <c r="W11" s="5">
        <v>5703.93</v>
      </c>
      <c r="X11" s="8">
        <f>1-(S11/W11)</f>
        <v>0.14298331409948939</v>
      </c>
      <c r="Z11" s="17"/>
      <c r="AA11" s="17"/>
      <c r="AB11">
        <f>A11</f>
        <v>130913</v>
      </c>
      <c r="AC11">
        <f>IFERROR(IF(OR(NOT(ISNUMBER(S11)),NOT(ISNUMBER(W11))),"",IF(OR(S11&lt;=0,W11&lt;=0),"",(1-S11/W11)*100)),"")</f>
        <v>14.29833140994894</v>
      </c>
      <c r="AD11">
        <f>IF(AC11="","",(MAX(S11,W11)/MIN(S11,W11)-1)*100)</f>
        <v>16.683842502932087</v>
      </c>
      <c r="AE11">
        <f>IF(AC11="","",ABS(W11-S11))</f>
        <v>815.56681479150029</v>
      </c>
      <c r="AF11">
        <f>IF(AC11="","",IF(AND(AE11&lt;MAX(Расч!$B$11,S11*Расч!$B$12),IF(AD11&lt;Расч!$B$7,0,IF(AD11&lt;Расч!$B$8,1,IF(AD11&lt;Расч!$B$9,2,IF(AD11&lt;Расч!$B$10,3,4))))&gt;1),1,IF(AD11&lt;Расч!$B$7,0,IF(AD11&lt;Расч!$B$8,1,IF(AD11&lt;Расч!$B$9,2,IF(AD11&lt;Расч!$B$10,3,4))))))</f>
        <v>0</v>
      </c>
      <c r="AK11">
        <f>IF(AC11="","",AC11)</f>
        <v>14.29833140994894</v>
      </c>
      <c r="AL11">
        <f>IF(AE11="","",AE11)</f>
        <v>815.56681479150029</v>
      </c>
      <c r="AM11">
        <f>IF(AF11="","",AF11)</f>
        <v>0</v>
      </c>
      <c r="AN11" t="str">
        <f>IF(AM11="","нет данных",CHOOSE(AM11+1,"Норма","Лёгкое отклонение","Заметный разброс","Выброс","Экстремальный выброс"))</f>
        <v>Норма</v>
      </c>
      <c r="AO11">
        <f>IF(OR(AC11="",NOT(ISNUMBER(N11))),0,MAX(N11,0))</f>
        <v>3371</v>
      </c>
      <c r="AP11">
        <f>IF(AC11="",0,AC11*AO11)</f>
        <v>48199.675182937877</v>
      </c>
      <c r="AQ11">
        <f>IF(OR(AC11="",NOT(ISNUMBER(O11))),0,MAX(O11,0)*S11)</f>
        <v>542608.31355814345</v>
      </c>
      <c r="AR11">
        <f>IF(AC11="",0,AC11*AQ11)</f>
        <v>7758393.493047826</v>
      </c>
    </row>
    <row r="12" spans="1:48" x14ac:dyDescent="0.25">
      <c r="A12">
        <v>170245</v>
      </c>
      <c r="B12" t="s">
        <v>20</v>
      </c>
      <c r="C12" t="s">
        <v>47</v>
      </c>
      <c r="D12" t="s">
        <v>744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s="5">
        <v>2036.7127519999999</v>
      </c>
      <c r="K12" t="s">
        <v>27</v>
      </c>
      <c r="L12" s="5">
        <v>6142.2605080799995</v>
      </c>
      <c r="M12" t="s">
        <v>48</v>
      </c>
      <c r="N12" s="12">
        <v>2625</v>
      </c>
      <c r="O12">
        <v>182</v>
      </c>
      <c r="P12" t="s">
        <v>29</v>
      </c>
      <c r="Q12" s="5">
        <v>2809</v>
      </c>
      <c r="R12" s="5">
        <v>2790.29647024</v>
      </c>
      <c r="S12" s="10">
        <v>5220.9214318679997</v>
      </c>
      <c r="T12" s="8">
        <v>0.48434116592136589</v>
      </c>
      <c r="U12" s="5">
        <v>13704918.758653499</v>
      </c>
      <c r="V12" s="5">
        <v>6637856.3304238347</v>
      </c>
      <c r="W12" s="5">
        <v>0</v>
      </c>
      <c r="X12" s="5"/>
    </row>
    <row r="13" spans="1:48" x14ac:dyDescent="0.25">
      <c r="A13">
        <v>156208</v>
      </c>
      <c r="B13" t="s">
        <v>20</v>
      </c>
      <c r="C13" t="s">
        <v>49</v>
      </c>
      <c r="D13" t="s">
        <v>749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s="5">
        <v>1666.150318</v>
      </c>
      <c r="K13" t="s">
        <v>27</v>
      </c>
      <c r="L13" s="5">
        <v>5302.3105270200003</v>
      </c>
      <c r="M13" t="s">
        <v>50</v>
      </c>
      <c r="N13" s="12">
        <v>2420</v>
      </c>
      <c r="O13">
        <v>248</v>
      </c>
      <c r="P13" t="s">
        <v>29</v>
      </c>
      <c r="Q13" s="5">
        <v>2383</v>
      </c>
      <c r="R13" s="5">
        <v>2282.6259356599999</v>
      </c>
      <c r="S13" s="10">
        <v>4506.9639479670004</v>
      </c>
      <c r="T13" s="8">
        <v>0.49356019752753338</v>
      </c>
      <c r="U13" s="5">
        <v>10906852.754080139</v>
      </c>
      <c r="V13" s="5">
        <v>5383188.3997075167</v>
      </c>
      <c r="W13" s="5">
        <v>4886.82</v>
      </c>
      <c r="X13" s="8">
        <f>1-(S13/W13)</f>
        <v>7.7730723053642148E-2</v>
      </c>
      <c r="Z13" s="15"/>
      <c r="AA13" s="15"/>
      <c r="AB13">
        <f>A13</f>
        <v>156208</v>
      </c>
      <c r="AC13">
        <f>IFERROR(IF(OR(NOT(ISNUMBER(S13)),NOT(ISNUMBER(W13))),"",IF(OR(S13&lt;=0,W13&lt;=0),"",(1-S13/W13)*100)),"")</f>
        <v>7.7730723053642148</v>
      </c>
      <c r="AD13">
        <f>IF(AC13="","",(MAX(S13,W13)/MIN(S13,W13)-1)*100)</f>
        <v>8.4282025864516719</v>
      </c>
      <c r="AE13">
        <f>IF(AC13="","",ABS(W13-S13))</f>
        <v>379.85605203299929</v>
      </c>
      <c r="AF13">
        <f>IF(AC13="","",IF(AND(AE13&lt;MAX(Расч!$B$11,S13*Расч!$B$12),IF(AD13&lt;Расч!$B$7,0,IF(AD13&lt;Расч!$B$8,1,IF(AD13&lt;Расч!$B$9,2,IF(AD13&lt;Расч!$B$10,3,4))))&gt;1),1,IF(AD13&lt;Расч!$B$7,0,IF(AD13&lt;Расч!$B$8,1,IF(AD13&lt;Расч!$B$9,2,IF(AD13&lt;Расч!$B$10,3,4))))))</f>
        <v>0</v>
      </c>
      <c r="AK13">
        <f>IF(AC13="","",AC13)</f>
        <v>7.7730723053642148</v>
      </c>
      <c r="AL13">
        <f>IF(AE13="","",AE13)</f>
        <v>379.85605203299929</v>
      </c>
      <c r="AM13">
        <f>IF(AF13="","",AF13)</f>
        <v>0</v>
      </c>
      <c r="AN13" t="str">
        <f>IF(AM13="","нет данных",CHOOSE(AM13+1,"Норма","Лёгкое отклонение","Заметный разброс","Выброс","Экстремальный выброс"))</f>
        <v>Норма</v>
      </c>
      <c r="AO13">
        <f>IF(OR(AC13="",NOT(ISNUMBER(N13))),0,MAX(N13,0))</f>
        <v>2420</v>
      </c>
      <c r="AP13">
        <f>IF(AC13="",0,AC13*AO13)</f>
        <v>18810.834978981398</v>
      </c>
      <c r="AQ13">
        <f>IF(OR(AC13="",NOT(ISNUMBER(O13))),0,MAX(O13,0)*S13)</f>
        <v>1117727.0590958162</v>
      </c>
      <c r="AR13">
        <f>IF(AC13="",0,AC13*AQ13)</f>
        <v>8688173.2480138801</v>
      </c>
    </row>
    <row r="14" spans="1:48" ht="15" customHeight="1" x14ac:dyDescent="0.25">
      <c r="A14">
        <v>130895</v>
      </c>
      <c r="B14" t="s">
        <v>30</v>
      </c>
      <c r="C14" t="s">
        <v>51</v>
      </c>
      <c r="D14" t="s">
        <v>750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s="5">
        <v>1678.299906</v>
      </c>
      <c r="K14" t="s">
        <v>27</v>
      </c>
      <c r="L14" s="5">
        <v>5054.0820051600003</v>
      </c>
      <c r="M14" t="s">
        <v>52</v>
      </c>
      <c r="N14" s="12">
        <v>1668</v>
      </c>
      <c r="O14">
        <v>186</v>
      </c>
      <c r="P14" t="s">
        <v>29</v>
      </c>
      <c r="Q14" s="5">
        <v>2265</v>
      </c>
      <c r="R14" s="5">
        <v>2299.2708712200001</v>
      </c>
      <c r="S14" s="10">
        <v>4295.9697043860006</v>
      </c>
      <c r="T14" s="8">
        <v>0.49339155706810689</v>
      </c>
      <c r="U14" s="5">
        <v>7165677.4669158487</v>
      </c>
      <c r="V14" s="5">
        <v>3535484.762849458</v>
      </c>
      <c r="W14" s="5">
        <v>0</v>
      </c>
    </row>
    <row r="15" spans="1:48" ht="15" customHeight="1" x14ac:dyDescent="0.25">
      <c r="A15">
        <v>130891</v>
      </c>
      <c r="B15" t="s">
        <v>30</v>
      </c>
      <c r="C15" t="s">
        <v>53</v>
      </c>
      <c r="D15" t="s">
        <v>744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s="5">
        <v>1379.5304920000001</v>
      </c>
      <c r="K15" t="s">
        <v>27</v>
      </c>
      <c r="L15" s="5">
        <v>4388.8918890899986</v>
      </c>
      <c r="M15" t="s">
        <v>54</v>
      </c>
      <c r="N15" s="12">
        <v>1563</v>
      </c>
      <c r="O15">
        <v>161</v>
      </c>
      <c r="P15" t="s">
        <v>29</v>
      </c>
      <c r="Q15" s="5">
        <v>1940</v>
      </c>
      <c r="R15" s="5">
        <v>1889.95677404</v>
      </c>
      <c r="S15" s="10">
        <v>3730.558105726499</v>
      </c>
      <c r="T15" s="8">
        <v>0.50310550833146395</v>
      </c>
      <c r="U15" s="5">
        <v>5830862.3192505185</v>
      </c>
      <c r="V15" s="5">
        <v>2933538.9511373108</v>
      </c>
      <c r="W15" s="5">
        <v>0</v>
      </c>
    </row>
    <row r="16" spans="1:48" ht="15" customHeight="1" x14ac:dyDescent="0.25">
      <c r="A16">
        <v>170263</v>
      </c>
      <c r="B16" t="s">
        <v>30</v>
      </c>
      <c r="C16" t="s">
        <v>55</v>
      </c>
      <c r="D16" t="s">
        <v>744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s="5">
        <v>1774.944356</v>
      </c>
      <c r="K16" t="s">
        <v>27</v>
      </c>
      <c r="L16" s="5">
        <v>5647.7210802</v>
      </c>
      <c r="M16" t="s">
        <v>56</v>
      </c>
      <c r="N16" s="12">
        <v>1521</v>
      </c>
      <c r="O16">
        <v>114</v>
      </c>
      <c r="P16" t="s">
        <v>57</v>
      </c>
      <c r="Q16" s="5">
        <v>2407</v>
      </c>
      <c r="R16" s="5">
        <v>2431.6737677199999</v>
      </c>
      <c r="S16" s="10">
        <v>4800.5629181699996</v>
      </c>
      <c r="T16" s="8">
        <v>0.50904639128799589</v>
      </c>
      <c r="U16" s="5">
        <v>7301656.1985365693</v>
      </c>
      <c r="V16" s="5">
        <v>3716881.7382906671</v>
      </c>
      <c r="W16" s="5">
        <v>0</v>
      </c>
      <c r="X16" s="5"/>
    </row>
    <row r="17" spans="1:44" x14ac:dyDescent="0.25">
      <c r="A17">
        <v>130892</v>
      </c>
      <c r="B17" t="s">
        <v>30</v>
      </c>
      <c r="C17" t="s">
        <v>58</v>
      </c>
      <c r="D17" t="s">
        <v>737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s="5">
        <v>1485.011006</v>
      </c>
      <c r="K17" t="s">
        <v>27</v>
      </c>
      <c r="L17" s="5">
        <v>4351.53262335</v>
      </c>
      <c r="M17" t="s">
        <v>59</v>
      </c>
      <c r="N17" s="12">
        <v>1501</v>
      </c>
      <c r="O17">
        <v>10</v>
      </c>
      <c r="P17" t="s">
        <v>57</v>
      </c>
      <c r="Q17" s="5">
        <v>2049</v>
      </c>
      <c r="R17" s="5">
        <v>2034.4650782199999</v>
      </c>
      <c r="S17" s="10">
        <v>3698.8027298474999</v>
      </c>
      <c r="T17" s="8">
        <v>0.47728653263978921</v>
      </c>
      <c r="U17" s="5">
        <v>5551902.8975010971</v>
      </c>
      <c r="V17" s="5">
        <v>2649848.4835010972</v>
      </c>
      <c r="W17" s="5">
        <v>2806.54</v>
      </c>
      <c r="X17" s="8">
        <f>1-(S17/W17)</f>
        <v>-0.31792268410480529</v>
      </c>
      <c r="Z17" s="15"/>
      <c r="AA17" s="15"/>
      <c r="AB17">
        <f>A17</f>
        <v>130892</v>
      </c>
      <c r="AC17">
        <f>IFERROR(IF(OR(NOT(ISNUMBER(S17)),NOT(ISNUMBER(W17))),"",IF(OR(S17&lt;=0,W17&lt;=0),"",(1-S17/W17)*100)),"")</f>
        <v>-31.792268410480528</v>
      </c>
      <c r="AD17">
        <f>IF(AC17="","",(MAX(S17,W17)/MIN(S17,W17)-1)*100)</f>
        <v>31.792268410480528</v>
      </c>
      <c r="AE17">
        <f>IF(AC17="","",ABS(W17-S17))</f>
        <v>892.26272984749994</v>
      </c>
      <c r="AF17">
        <f>IF(AC17="","",IF(AND(AE17&lt;MAX(Расч!$B$11,S17*Расч!$B$12),IF(AD17&lt;Расч!$B$7,0,IF(AD17&lt;Расч!$B$8,1,IF(AD17&lt;Расч!$B$9,2,IF(AD17&lt;Расч!$B$10,3,4))))&gt;1),1,IF(AD17&lt;Расч!$B$7,0,IF(AD17&lt;Расч!$B$8,1,IF(AD17&lt;Расч!$B$9,2,IF(AD17&lt;Расч!$B$10,3,4))))))</f>
        <v>1</v>
      </c>
      <c r="AK17">
        <f t="shared" ref="AK17:AK18" si="6">IF(AC17="","",AC17)</f>
        <v>-31.792268410480528</v>
      </c>
      <c r="AL17">
        <f t="shared" ref="AL17:AL18" si="7">IF(AE17="","",AE17)</f>
        <v>892.26272984749994</v>
      </c>
      <c r="AM17">
        <f t="shared" ref="AM17:AM18" si="8">IF(AF17="","",AF17)</f>
        <v>1</v>
      </c>
      <c r="AN17" t="str">
        <f t="shared" ref="AN17:AN18" si="9">IF(AM17="","нет данных",CHOOSE(AM17+1,"Норма","Лёгкое отклонение","Заметный разброс","Выброс","Экстремальный выброс"))</f>
        <v>Лёгкое отклонение</v>
      </c>
      <c r="AO17">
        <f>IF(OR(AC17="",NOT(ISNUMBER(N17))),0,MAX(N17,0))</f>
        <v>1501</v>
      </c>
      <c r="AP17">
        <f t="shared" ref="AP17:AP18" si="10">IF(AC17="",0,AC17*AO17)</f>
        <v>-47720.19488413127</v>
      </c>
      <c r="AQ17">
        <f>IF(OR(AC17="",NOT(ISNUMBER(O17))),0,MAX(O17,0)*S17)</f>
        <v>36988.027298474997</v>
      </c>
      <c r="AR17">
        <f t="shared" ref="AR17:AR18" si="11">IF(AC17="",0,AC17*AQ17)</f>
        <v>-1175933.2918472982</v>
      </c>
    </row>
    <row r="18" spans="1:44" x14ac:dyDescent="0.25">
      <c r="A18">
        <v>130916</v>
      </c>
      <c r="B18" t="s">
        <v>20</v>
      </c>
      <c r="C18" t="s">
        <v>60</v>
      </c>
      <c r="D18" t="s">
        <v>722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s="5">
        <v>1872.1410599999999</v>
      </c>
      <c r="K18" t="s">
        <v>27</v>
      </c>
      <c r="L18" s="5">
        <v>5939.91779382</v>
      </c>
      <c r="M18" t="s">
        <v>61</v>
      </c>
      <c r="N18" s="12">
        <v>1421</v>
      </c>
      <c r="O18">
        <v>188</v>
      </c>
      <c r="P18" t="s">
        <v>57</v>
      </c>
      <c r="Q18" s="5">
        <v>2637</v>
      </c>
      <c r="R18" s="5">
        <v>2564.833252200001</v>
      </c>
      <c r="S18" s="10">
        <v>5048.9301247470003</v>
      </c>
      <c r="T18" s="8">
        <v>0.49891309655794908</v>
      </c>
      <c r="U18" s="5">
        <v>7174529.7072654869</v>
      </c>
      <c r="V18" s="5">
        <v>3579466.8325988199</v>
      </c>
      <c r="W18" s="5">
        <v>4603.3100000000004</v>
      </c>
      <c r="X18" s="8">
        <f>1-(S18/W18)</f>
        <v>-9.6804283167329475E-2</v>
      </c>
      <c r="AB18">
        <f>A18</f>
        <v>130916</v>
      </c>
      <c r="AC18">
        <f>IFERROR(IF(OR(NOT(ISNUMBER(S18)),NOT(ISNUMBER(W18))),"",IF(OR(S18&lt;=0,W18&lt;=0),"",(1-S18/W18)*100)),"")</f>
        <v>-9.6804283167329466</v>
      </c>
      <c r="AD18">
        <f>IF(AC18="","",(MAX(S18,W18)/MIN(S18,W18)-1)*100)</f>
        <v>9.6804283167329466</v>
      </c>
      <c r="AE18">
        <f>IF(AC18="","",ABS(W18-S18))</f>
        <v>445.62012474699986</v>
      </c>
      <c r="AF18">
        <f>IF(AC18="","",IF(AND(AE18&lt;MAX(Расч!$B$11,S18*Расч!$B$12),IF(AD18&lt;Расч!$B$7,0,IF(AD18&lt;Расч!$B$8,1,IF(AD18&lt;Расч!$B$9,2,IF(AD18&lt;Расч!$B$10,3,4))))&gt;1),1,IF(AD18&lt;Расч!$B$7,0,IF(AD18&lt;Расч!$B$8,1,IF(AD18&lt;Расч!$B$9,2,IF(AD18&lt;Расч!$B$10,3,4))))))</f>
        <v>0</v>
      </c>
      <c r="AK18">
        <f t="shared" si="6"/>
        <v>-9.6804283167329466</v>
      </c>
      <c r="AL18">
        <f t="shared" si="7"/>
        <v>445.62012474699986</v>
      </c>
      <c r="AM18">
        <f t="shared" si="8"/>
        <v>0</v>
      </c>
      <c r="AN18" t="str">
        <f t="shared" si="9"/>
        <v>Норма</v>
      </c>
      <c r="AO18">
        <f>IF(OR(AC18="",NOT(ISNUMBER(N18))),0,MAX(N18,0))</f>
        <v>1421</v>
      </c>
      <c r="AP18">
        <f t="shared" si="10"/>
        <v>-13755.888638077517</v>
      </c>
      <c r="AQ18">
        <f>IF(OR(AC18="",NOT(ISNUMBER(O18))),0,MAX(O18,0)*S18)</f>
        <v>949198.86345243605</v>
      </c>
      <c r="AR18">
        <f t="shared" si="11"/>
        <v>-9188651.5559756923</v>
      </c>
    </row>
    <row r="19" spans="1:44" x14ac:dyDescent="0.25">
      <c r="A19">
        <v>163783</v>
      </c>
      <c r="B19" t="s">
        <v>20</v>
      </c>
      <c r="C19" t="s">
        <v>62</v>
      </c>
      <c r="D19" t="s">
        <v>751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s="5">
        <v>1504.8921499999999</v>
      </c>
      <c r="K19" t="s">
        <v>27</v>
      </c>
      <c r="L19" s="5">
        <v>5300.3929111799998</v>
      </c>
      <c r="M19" t="s">
        <v>63</v>
      </c>
      <c r="N19" s="12">
        <v>1131</v>
      </c>
      <c r="O19">
        <v>94</v>
      </c>
      <c r="P19" t="s">
        <v>57</v>
      </c>
      <c r="Q19" s="5">
        <v>2138</v>
      </c>
      <c r="R19" s="5">
        <v>2061.7022455000001</v>
      </c>
      <c r="S19" s="10">
        <v>4505.3339745029998</v>
      </c>
      <c r="T19" s="8">
        <v>0.54536167835116611</v>
      </c>
      <c r="U19" s="5">
        <v>5095532.7251628926</v>
      </c>
      <c r="V19" s="5">
        <v>2778908.279088126</v>
      </c>
      <c r="W19" s="5">
        <v>0</v>
      </c>
    </row>
    <row r="20" spans="1:44" x14ac:dyDescent="0.25">
      <c r="A20">
        <v>156213</v>
      </c>
      <c r="B20" t="s">
        <v>20</v>
      </c>
      <c r="C20" t="s">
        <v>64</v>
      </c>
      <c r="D20">
        <v>9907711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s="5">
        <v>1570.0581219999999</v>
      </c>
      <c r="K20" t="s">
        <v>27</v>
      </c>
      <c r="L20" s="5">
        <v>4911.3737192099998</v>
      </c>
      <c r="M20" t="s">
        <v>65</v>
      </c>
      <c r="N20" s="12">
        <v>1011</v>
      </c>
      <c r="O20">
        <v>87</v>
      </c>
      <c r="P20" t="s">
        <v>57</v>
      </c>
      <c r="Q20" s="5">
        <v>2255</v>
      </c>
      <c r="R20" s="5">
        <v>2150.979627140001</v>
      </c>
      <c r="S20" s="10">
        <v>4174.6676613284999</v>
      </c>
      <c r="T20" s="8">
        <v>0.48035082134684959</v>
      </c>
      <c r="U20" s="5">
        <v>4220589.0056031132</v>
      </c>
      <c r="V20" s="5">
        <v>2027363.3954089391</v>
      </c>
      <c r="W20" s="5">
        <v>0</v>
      </c>
      <c r="X20" s="5"/>
    </row>
    <row r="21" spans="1:44" x14ac:dyDescent="0.25">
      <c r="A21">
        <v>170244</v>
      </c>
      <c r="B21" t="s">
        <v>20</v>
      </c>
      <c r="C21" t="s">
        <v>66</v>
      </c>
      <c r="D21" t="s">
        <v>744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s="5">
        <v>2232.7629219999999</v>
      </c>
      <c r="K21" t="s">
        <v>27</v>
      </c>
      <c r="L21" s="5">
        <v>8051.6237513399992</v>
      </c>
      <c r="M21" t="s">
        <v>67</v>
      </c>
      <c r="N21" s="12">
        <v>980</v>
      </c>
      <c r="O21">
        <v>30</v>
      </c>
      <c r="P21" t="s">
        <v>57</v>
      </c>
      <c r="Q21" s="5">
        <v>3075</v>
      </c>
      <c r="R21" s="5">
        <v>3058.8852031400002</v>
      </c>
      <c r="S21" s="10">
        <v>6843.8801886389992</v>
      </c>
      <c r="T21" s="8">
        <v>0.5713553230563807</v>
      </c>
      <c r="U21" s="5">
        <v>6707002.5848662192</v>
      </c>
      <c r="V21" s="5">
        <v>3832081.6286162189</v>
      </c>
      <c r="W21" s="5">
        <v>0</v>
      </c>
      <c r="X21" s="5"/>
    </row>
    <row r="22" spans="1:44" x14ac:dyDescent="0.25">
      <c r="A22">
        <v>156215</v>
      </c>
      <c r="B22" t="s">
        <v>20</v>
      </c>
      <c r="C22" t="s">
        <v>68</v>
      </c>
      <c r="D22" t="s">
        <v>752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s="5">
        <v>1530.848088</v>
      </c>
      <c r="K22" t="s">
        <v>27</v>
      </c>
      <c r="L22" s="5">
        <v>4923.6670064700002</v>
      </c>
      <c r="M22" t="s">
        <v>69</v>
      </c>
      <c r="N22" s="12">
        <v>952</v>
      </c>
      <c r="O22">
        <v>38</v>
      </c>
      <c r="P22" t="s">
        <v>57</v>
      </c>
      <c r="Q22" s="5">
        <v>2193</v>
      </c>
      <c r="R22" s="5">
        <v>2097.26188056</v>
      </c>
      <c r="S22" s="10">
        <v>4185.1169554995004</v>
      </c>
      <c r="T22" s="8">
        <v>0.51310132634187378</v>
      </c>
      <c r="U22" s="5">
        <v>3984231.3416355238</v>
      </c>
      <c r="V22" s="5">
        <v>2044314.3858460509</v>
      </c>
      <c r="W22" s="5">
        <v>0</v>
      </c>
      <c r="X22" s="5"/>
    </row>
    <row r="23" spans="1:44" x14ac:dyDescent="0.25">
      <c r="A23">
        <v>163776</v>
      </c>
      <c r="B23" t="s">
        <v>20</v>
      </c>
      <c r="C23" t="s">
        <v>70</v>
      </c>
      <c r="D23" t="s">
        <v>753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s="5">
        <v>1738.495592</v>
      </c>
      <c r="K23" t="s">
        <v>27</v>
      </c>
      <c r="L23" s="5">
        <v>5618.751383759999</v>
      </c>
      <c r="M23" t="s">
        <v>71</v>
      </c>
      <c r="N23" s="12">
        <v>824</v>
      </c>
      <c r="O23">
        <v>28</v>
      </c>
      <c r="P23" t="s">
        <v>57</v>
      </c>
      <c r="Q23" s="5">
        <v>2433</v>
      </c>
      <c r="R23" s="5">
        <v>2381.73896104</v>
      </c>
      <c r="S23" s="10">
        <v>4775.9386761960004</v>
      </c>
      <c r="T23" s="8">
        <v>0.51161713978143042</v>
      </c>
      <c r="U23" s="5">
        <v>3935373.4691855041</v>
      </c>
      <c r="V23" s="5">
        <v>2013404.518276413</v>
      </c>
      <c r="W23" s="5">
        <v>0</v>
      </c>
      <c r="X23" s="5"/>
    </row>
    <row r="24" spans="1:44" x14ac:dyDescent="0.25">
      <c r="A24">
        <v>156209</v>
      </c>
      <c r="B24" t="s">
        <v>20</v>
      </c>
      <c r="C24" t="s">
        <v>72</v>
      </c>
      <c r="D24" t="s">
        <v>744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s="5">
        <v>1871.036552</v>
      </c>
      <c r="K24" t="s">
        <v>27</v>
      </c>
      <c r="L24" s="5">
        <v>6024.24152607</v>
      </c>
      <c r="M24" t="s">
        <v>73</v>
      </c>
      <c r="N24" s="12">
        <v>768</v>
      </c>
      <c r="O24">
        <v>41</v>
      </c>
      <c r="P24" t="s">
        <v>57</v>
      </c>
      <c r="Q24" s="5">
        <v>2711</v>
      </c>
      <c r="R24" s="5">
        <v>2563.3200762400002</v>
      </c>
      <c r="S24" s="10">
        <v>5120.6052971595</v>
      </c>
      <c r="T24" s="8">
        <v>0.49338765440403137</v>
      </c>
      <c r="U24" s="5">
        <v>3932624.868218496</v>
      </c>
      <c r="V24" s="5">
        <v>1940308.5593812871</v>
      </c>
      <c r="W24" s="5">
        <v>0</v>
      </c>
      <c r="X24" s="5"/>
    </row>
    <row r="25" spans="1:44" x14ac:dyDescent="0.25">
      <c r="A25">
        <v>163780</v>
      </c>
      <c r="B25" t="s">
        <v>20</v>
      </c>
      <c r="C25" t="s">
        <v>74</v>
      </c>
      <c r="D25" t="s">
        <v>754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s="5">
        <v>1878.215854</v>
      </c>
      <c r="K25" t="s">
        <v>27</v>
      </c>
      <c r="L25" s="5">
        <v>5930.2441067700001</v>
      </c>
      <c r="M25" t="s">
        <v>75</v>
      </c>
      <c r="N25" s="12">
        <v>736</v>
      </c>
      <c r="O25">
        <v>171</v>
      </c>
      <c r="P25" t="s">
        <v>57</v>
      </c>
      <c r="Q25" s="5">
        <v>2766</v>
      </c>
      <c r="R25" s="5">
        <v>2573.15571998</v>
      </c>
      <c r="S25" s="10">
        <v>5040.7074907545002</v>
      </c>
      <c r="T25" s="8">
        <v>0.4729479976419626</v>
      </c>
      <c r="U25" s="5">
        <v>3709960.7131953118</v>
      </c>
      <c r="V25" s="5">
        <v>1754618.49063607</v>
      </c>
      <c r="W25" s="5">
        <v>0</v>
      </c>
    </row>
    <row r="26" spans="1:44" x14ac:dyDescent="0.25">
      <c r="A26">
        <v>130894</v>
      </c>
      <c r="B26" t="s">
        <v>30</v>
      </c>
      <c r="C26" t="s">
        <v>76</v>
      </c>
      <c r="D26" t="s">
        <v>744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s="5">
        <v>1758.3767359999999</v>
      </c>
      <c r="K26" t="s">
        <v>27</v>
      </c>
      <c r="L26" s="5">
        <v>5644.05706422</v>
      </c>
      <c r="M26" t="s">
        <v>77</v>
      </c>
      <c r="N26" s="12">
        <v>730</v>
      </c>
      <c r="O26">
        <v>29</v>
      </c>
      <c r="P26" t="s">
        <v>57</v>
      </c>
      <c r="Q26" s="5">
        <v>2465</v>
      </c>
      <c r="R26" s="5">
        <v>2408.97612832</v>
      </c>
      <c r="S26" s="10">
        <v>4797.4485045869997</v>
      </c>
      <c r="T26" s="8">
        <v>0.50873886447210737</v>
      </c>
      <c r="U26" s="5">
        <v>3502137.40834851</v>
      </c>
      <c r="V26" s="5">
        <v>1781673.40834851</v>
      </c>
      <c r="W26" s="5">
        <v>0</v>
      </c>
      <c r="X26" s="5"/>
    </row>
    <row r="27" spans="1:44" x14ac:dyDescent="0.25">
      <c r="A27">
        <v>130930</v>
      </c>
      <c r="B27" t="s">
        <v>20</v>
      </c>
      <c r="C27" t="s">
        <v>78</v>
      </c>
      <c r="D27" t="s">
        <v>729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s="5">
        <v>1731.31629</v>
      </c>
      <c r="K27" t="s">
        <v>27</v>
      </c>
      <c r="L27" s="5">
        <v>5618.751383759999</v>
      </c>
      <c r="M27" t="s">
        <v>79</v>
      </c>
      <c r="N27" s="12">
        <v>701</v>
      </c>
      <c r="O27">
        <v>45</v>
      </c>
      <c r="P27" t="s">
        <v>57</v>
      </c>
      <c r="Q27" s="5">
        <v>2502</v>
      </c>
      <c r="R27" s="5">
        <v>2371.9033172999998</v>
      </c>
      <c r="S27" s="10">
        <v>4775.9386761960004</v>
      </c>
      <c r="T27" s="8">
        <v>0.49834610855378192</v>
      </c>
      <c r="U27" s="5">
        <v>3347933.0120133958</v>
      </c>
      <c r="V27" s="5">
        <v>1668429.3882356179</v>
      </c>
      <c r="W27" s="5">
        <v>4749.2</v>
      </c>
      <c r="X27" s="8">
        <f>1-(S27/W27)</f>
        <v>-5.6301432232799264E-3</v>
      </c>
      <c r="Z27" s="40"/>
      <c r="AA27" s="40"/>
      <c r="AB27">
        <f>A27</f>
        <v>130930</v>
      </c>
      <c r="AC27">
        <f>IFERROR(IF(OR(NOT(ISNUMBER(S27)),NOT(ISNUMBER(W27))),"",IF(OR(S27&lt;=0,W27&lt;=0),"",(1-S27/W27)*100)),"")</f>
        <v>-0.56301432232799264</v>
      </c>
      <c r="AD27">
        <f>IF(AC27="","",(MAX(S27,W27)/MIN(S27,W27)-1)*100)</f>
        <v>0.56301432232799264</v>
      </c>
      <c r="AE27">
        <f>IF(AC27="","",ABS(W27-S27))</f>
        <v>26.738676196000597</v>
      </c>
      <c r="AF27">
        <f>IF(AC27="","",IF(AND(AE27&lt;MAX(Расч!$B$11,S27*Расч!$B$12),IF(AD27&lt;Расч!$B$7,0,IF(AD27&lt;Расч!$B$8,1,IF(AD27&lt;Расч!$B$9,2,IF(AD27&lt;Расч!$B$10,3,4))))&gt;1),1,IF(AD27&lt;Расч!$B$7,0,IF(AD27&lt;Расч!$B$8,1,IF(AD27&lt;Расч!$B$9,2,IF(AD27&lt;Расч!$B$10,3,4))))))</f>
        <v>0</v>
      </c>
      <c r="AK27">
        <f t="shared" ref="AK27:AK31" si="12">IF(AC27="","",AC27)</f>
        <v>-0.56301432232799264</v>
      </c>
      <c r="AL27">
        <f t="shared" ref="AL27:AL31" si="13">IF(AE27="","",AE27)</f>
        <v>26.738676196000597</v>
      </c>
      <c r="AM27">
        <f t="shared" ref="AM27:AM31" si="14">IF(AF27="","",AF27)</f>
        <v>0</v>
      </c>
      <c r="AN27" t="str">
        <f t="shared" ref="AN27:AN31" si="15">IF(AM27="","нет данных",CHOOSE(AM27+1,"Норма","Лёгкое отклонение","Заметный разброс","Выброс","Экстремальный выброс"))</f>
        <v>Норма</v>
      </c>
      <c r="AO27">
        <f>IF(OR(AC27="",NOT(ISNUMBER(N27))),0,MAX(N27,0))</f>
        <v>701</v>
      </c>
      <c r="AP27">
        <f t="shared" ref="AP27:AP31" si="16">IF(AC27="",0,AC27*AO27)</f>
        <v>-394.67303995192282</v>
      </c>
      <c r="AQ27">
        <f>IF(OR(AC27="",NOT(ISNUMBER(O27))),0,MAX(O27,0)*S27)</f>
        <v>214917.24042882002</v>
      </c>
      <c r="AR27">
        <f t="shared" ref="AR27:AR31" si="17">IF(AC27="",0,AC27*AQ27)</f>
        <v>-121001.48447663436</v>
      </c>
    </row>
    <row r="28" spans="1:44" x14ac:dyDescent="0.25">
      <c r="A28">
        <v>130876</v>
      </c>
      <c r="B28" t="s">
        <v>20</v>
      </c>
      <c r="C28" t="s">
        <v>80</v>
      </c>
      <c r="D28" t="s">
        <v>755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s="5">
        <v>1372.3511900000001</v>
      </c>
      <c r="K28" t="s">
        <v>27</v>
      </c>
      <c r="L28" s="5">
        <v>4866.5152058099993</v>
      </c>
      <c r="M28" t="s">
        <v>81</v>
      </c>
      <c r="N28" s="12">
        <v>700</v>
      </c>
      <c r="O28">
        <v>29</v>
      </c>
      <c r="P28" t="s">
        <v>57</v>
      </c>
      <c r="Q28" s="5">
        <v>1957</v>
      </c>
      <c r="R28" s="5">
        <v>1880.1211303</v>
      </c>
      <c r="S28" s="10">
        <v>4136.5379249384996</v>
      </c>
      <c r="T28" s="8">
        <v>0.54937712296754326</v>
      </c>
      <c r="U28" s="5">
        <v>2895576.5474569499</v>
      </c>
      <c r="V28" s="5">
        <v>1590763.512974191</v>
      </c>
      <c r="W28" s="5">
        <v>3988.3</v>
      </c>
      <c r="X28" s="8">
        <f>1-(S28/W28)</f>
        <v>-3.7168198214401871E-2</v>
      </c>
      <c r="Z28" s="40"/>
      <c r="AA28" s="40"/>
      <c r="AB28">
        <f>A28</f>
        <v>130876</v>
      </c>
      <c r="AC28">
        <f>IFERROR(IF(OR(NOT(ISNUMBER(S28)),NOT(ISNUMBER(W28))),"",IF(OR(S28&lt;=0,W28&lt;=0),"",(1-S28/W28)*100)),"")</f>
        <v>-3.7168198214401871</v>
      </c>
      <c r="AD28">
        <f>IF(AC28="","",(MAX(S28,W28)/MIN(S28,W28)-1)*100)</f>
        <v>3.7168198214401871</v>
      </c>
      <c r="AE28">
        <f>IF(AC28="","",ABS(W28-S28))</f>
        <v>148.23792493849942</v>
      </c>
      <c r="AF28">
        <f>IF(AC28="","",IF(AND(AE28&lt;MAX(Расч!$B$11,S28*Расч!$B$12),IF(AD28&lt;Расч!$B$7,0,IF(AD28&lt;Расч!$B$8,1,IF(AD28&lt;Расч!$B$9,2,IF(AD28&lt;Расч!$B$10,3,4))))&gt;1),1,IF(AD28&lt;Расч!$B$7,0,IF(AD28&lt;Расч!$B$8,1,IF(AD28&lt;Расч!$B$9,2,IF(AD28&lt;Расч!$B$10,3,4))))))</f>
        <v>0</v>
      </c>
      <c r="AK28">
        <f t="shared" si="12"/>
        <v>-3.7168198214401871</v>
      </c>
      <c r="AL28">
        <f t="shared" si="13"/>
        <v>148.23792493849942</v>
      </c>
      <c r="AM28">
        <f t="shared" si="14"/>
        <v>0</v>
      </c>
      <c r="AN28" t="str">
        <f t="shared" si="15"/>
        <v>Норма</v>
      </c>
      <c r="AO28">
        <f>IF(OR(AC28="",NOT(ISNUMBER(N28))),0,MAX(N28,0))</f>
        <v>700</v>
      </c>
      <c r="AP28">
        <f t="shared" si="16"/>
        <v>-2601.7738750081307</v>
      </c>
      <c r="AQ28">
        <f>IF(OR(AC28="",NOT(ISNUMBER(O28))),0,MAX(O28,0)*S28)</f>
        <v>119959.59982321649</v>
      </c>
      <c r="AR28">
        <f t="shared" si="17"/>
        <v>-445868.21839496377</v>
      </c>
    </row>
    <row r="29" spans="1:44" x14ac:dyDescent="0.25">
      <c r="A29">
        <v>130890</v>
      </c>
      <c r="B29" t="s">
        <v>30</v>
      </c>
      <c r="C29" t="s">
        <v>82</v>
      </c>
      <c r="D29" t="s">
        <v>756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s="5">
        <v>1537.475136</v>
      </c>
      <c r="K29" t="s">
        <v>27</v>
      </c>
      <c r="L29" s="5">
        <v>5676.69077664</v>
      </c>
      <c r="M29" t="s">
        <v>83</v>
      </c>
      <c r="N29" s="12">
        <v>681</v>
      </c>
      <c r="O29">
        <v>55</v>
      </c>
      <c r="P29" t="s">
        <v>57</v>
      </c>
      <c r="Q29" s="5">
        <v>2169</v>
      </c>
      <c r="R29" s="5">
        <v>2106.3409363199999</v>
      </c>
      <c r="S29" s="10">
        <v>4825.1871601439998</v>
      </c>
      <c r="T29" s="8">
        <v>0.57009196744026536</v>
      </c>
      <c r="U29" s="5">
        <v>3285952.456058064</v>
      </c>
      <c r="V29" s="5">
        <v>1873295.100589314</v>
      </c>
      <c r="W29" s="5">
        <v>4460.13</v>
      </c>
      <c r="X29" s="8">
        <f>1-(S29/W29)</f>
        <v>-8.184899546515445E-2</v>
      </c>
      <c r="AB29">
        <f>A29</f>
        <v>130890</v>
      </c>
      <c r="AC29">
        <f>IFERROR(IF(OR(NOT(ISNUMBER(S29)),NOT(ISNUMBER(W29))),"",IF(OR(S29&lt;=0,W29&lt;=0),"",(1-S29/W29)*100)),"")</f>
        <v>-8.1848995465154459</v>
      </c>
      <c r="AD29">
        <f>IF(AC29="","",(MAX(S29,W29)/MIN(S29,W29)-1)*100)</f>
        <v>8.1848995465154459</v>
      </c>
      <c r="AE29">
        <f>IF(AC29="","",ABS(W29-S29))</f>
        <v>365.05716014399968</v>
      </c>
      <c r="AF29">
        <f>IF(AC29="","",IF(AND(AE29&lt;MAX(Расч!$B$11,S29*Расч!$B$12),IF(AD29&lt;Расч!$B$7,0,IF(AD29&lt;Расч!$B$8,1,IF(AD29&lt;Расч!$B$9,2,IF(AD29&lt;Расч!$B$10,3,4))))&gt;1),1,IF(AD29&lt;Расч!$B$7,0,IF(AD29&lt;Расч!$B$8,1,IF(AD29&lt;Расч!$B$9,2,IF(AD29&lt;Расч!$B$10,3,4))))))</f>
        <v>0</v>
      </c>
      <c r="AK29">
        <f t="shared" si="12"/>
        <v>-8.1848995465154459</v>
      </c>
      <c r="AL29">
        <f t="shared" si="13"/>
        <v>365.05716014399968</v>
      </c>
      <c r="AM29">
        <f t="shared" si="14"/>
        <v>0</v>
      </c>
      <c r="AN29" t="str">
        <f t="shared" si="15"/>
        <v>Норма</v>
      </c>
      <c r="AO29">
        <f>IF(OR(AC29="",NOT(ISNUMBER(N29))),0,MAX(N29,0))</f>
        <v>681</v>
      </c>
      <c r="AP29">
        <f t="shared" si="16"/>
        <v>-5573.9165911770187</v>
      </c>
      <c r="AQ29">
        <f>IF(OR(AC29="",NOT(ISNUMBER(O29))),0,MAX(O29,0)*S29)</f>
        <v>265385.29380792001</v>
      </c>
      <c r="AR29">
        <f t="shared" si="17"/>
        <v>-2172151.9709403128</v>
      </c>
    </row>
    <row r="30" spans="1:44" x14ac:dyDescent="0.25">
      <c r="A30">
        <v>156211</v>
      </c>
      <c r="B30" t="s">
        <v>20</v>
      </c>
      <c r="C30" t="s">
        <v>84</v>
      </c>
      <c r="D30" t="s">
        <v>757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s="5">
        <v>1841.2148360000001</v>
      </c>
      <c r="K30" t="s">
        <v>27</v>
      </c>
      <c r="L30" s="5">
        <v>5910.2803561500004</v>
      </c>
      <c r="M30" t="s">
        <v>85</v>
      </c>
      <c r="N30" s="12">
        <v>665</v>
      </c>
      <c r="O30">
        <v>63</v>
      </c>
      <c r="P30" t="s">
        <v>57</v>
      </c>
      <c r="Q30" s="5">
        <v>2602</v>
      </c>
      <c r="R30" s="5">
        <v>2522.4643253200002</v>
      </c>
      <c r="S30" s="10">
        <v>5023.7383027274991</v>
      </c>
      <c r="T30" s="8">
        <v>0.51264901513787853</v>
      </c>
      <c r="U30" s="5">
        <v>3340785.9713137872</v>
      </c>
      <c r="V30" s="5">
        <v>1712650.6379804539</v>
      </c>
      <c r="W30" s="5">
        <v>4790.8999999999996</v>
      </c>
      <c r="X30" s="8">
        <f>1-(S30/W30)</f>
        <v>-4.8600117457575642E-2</v>
      </c>
      <c r="AB30">
        <f>A30</f>
        <v>156211</v>
      </c>
      <c r="AC30">
        <f>IFERROR(IF(OR(NOT(ISNUMBER(S30)),NOT(ISNUMBER(W30))),"",IF(OR(S30&lt;=0,W30&lt;=0),"",(1-S30/W30)*100)),"")</f>
        <v>-4.8600117457575642</v>
      </c>
      <c r="AD30">
        <f>IF(AC30="","",(MAX(S30,W30)/MIN(S30,W30)-1)*100)</f>
        <v>4.8600117457575642</v>
      </c>
      <c r="AE30">
        <f>IF(AC30="","",ABS(W30-S30))</f>
        <v>232.83830272749947</v>
      </c>
      <c r="AF30">
        <f>IF(AC30="","",IF(AND(AE30&lt;MAX(Расч!$B$11,S30*Расч!$B$12),IF(AD30&lt;Расч!$B$7,0,IF(AD30&lt;Расч!$B$8,1,IF(AD30&lt;Расч!$B$9,2,IF(AD30&lt;Расч!$B$10,3,4))))&gt;1),1,IF(AD30&lt;Расч!$B$7,0,IF(AD30&lt;Расч!$B$8,1,IF(AD30&lt;Расч!$B$9,2,IF(AD30&lt;Расч!$B$10,3,4))))))</f>
        <v>0</v>
      </c>
      <c r="AK30">
        <f t="shared" si="12"/>
        <v>-4.8600117457575642</v>
      </c>
      <c r="AL30">
        <f t="shared" si="13"/>
        <v>232.83830272749947</v>
      </c>
      <c r="AM30">
        <f t="shared" si="14"/>
        <v>0</v>
      </c>
      <c r="AN30" t="str">
        <f t="shared" si="15"/>
        <v>Норма</v>
      </c>
      <c r="AO30">
        <f>IF(OR(AC30="",NOT(ISNUMBER(N30))),0,MAX(N30,0))</f>
        <v>665</v>
      </c>
      <c r="AP30">
        <f t="shared" si="16"/>
        <v>-3231.9078109287802</v>
      </c>
      <c r="AQ30">
        <f>IF(OR(AC30="",NOT(ISNUMBER(O30))),0,MAX(O30,0)*S30)</f>
        <v>316495.51307183242</v>
      </c>
      <c r="AR30">
        <f t="shared" si="17"/>
        <v>-1538171.9110086723</v>
      </c>
    </row>
    <row r="31" spans="1:44" x14ac:dyDescent="0.25">
      <c r="A31">
        <v>156214</v>
      </c>
      <c r="B31" t="s">
        <v>20</v>
      </c>
      <c r="C31" t="s">
        <v>86</v>
      </c>
      <c r="D31" t="s">
        <v>758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s="5">
        <v>1768.3173079999999</v>
      </c>
      <c r="K31" t="s">
        <v>27</v>
      </c>
      <c r="L31" s="5">
        <v>5675.8518197100002</v>
      </c>
      <c r="M31" t="s">
        <v>87</v>
      </c>
      <c r="N31" s="12">
        <v>655</v>
      </c>
      <c r="O31">
        <v>18</v>
      </c>
      <c r="P31" t="s">
        <v>57</v>
      </c>
      <c r="Q31" s="5">
        <v>2418</v>
      </c>
      <c r="R31" s="5">
        <v>2422.59471196</v>
      </c>
      <c r="S31" s="10">
        <v>4824.4740467535003</v>
      </c>
      <c r="T31" s="8">
        <v>0.52501155105467001</v>
      </c>
      <c r="U31" s="5">
        <v>3160030.5006235428</v>
      </c>
      <c r="V31" s="5">
        <v>1659052.514512432</v>
      </c>
      <c r="W31" s="5">
        <v>4939.3999999999996</v>
      </c>
      <c r="X31" s="8">
        <f>1-(S31/W31)</f>
        <v>2.3267188979734232E-2</v>
      </c>
      <c r="AB31">
        <f>A31</f>
        <v>156214</v>
      </c>
      <c r="AC31">
        <f>IFERROR(IF(OR(NOT(ISNUMBER(S31)),NOT(ISNUMBER(W31))),"",IF(OR(S31&lt;=0,W31&lt;=0),"",(1-S31/W31)*100)),"")</f>
        <v>2.3267188979734232</v>
      </c>
      <c r="AD31">
        <f>IF(AC31="","",(MAX(S31,W31)/MIN(S31,W31)-1)*100)</f>
        <v>2.382144709097056</v>
      </c>
      <c r="AE31">
        <f>IF(AC31="","",ABS(W31-S31))</f>
        <v>114.92595324649938</v>
      </c>
      <c r="AF31">
        <f>IF(AC31="","",IF(AND(AE31&lt;MAX(Расч!$B$11,S31*Расч!$B$12),IF(AD31&lt;Расч!$B$7,0,IF(AD31&lt;Расч!$B$8,1,IF(AD31&lt;Расч!$B$9,2,IF(AD31&lt;Расч!$B$10,3,4))))&gt;1),1,IF(AD31&lt;Расч!$B$7,0,IF(AD31&lt;Расч!$B$8,1,IF(AD31&lt;Расч!$B$9,2,IF(AD31&lt;Расч!$B$10,3,4))))))</f>
        <v>0</v>
      </c>
      <c r="AK31">
        <f t="shared" si="12"/>
        <v>2.3267188979734232</v>
      </c>
      <c r="AL31">
        <f t="shared" si="13"/>
        <v>114.92595324649938</v>
      </c>
      <c r="AM31">
        <f t="shared" si="14"/>
        <v>0</v>
      </c>
      <c r="AN31" t="str">
        <f t="shared" si="15"/>
        <v>Норма</v>
      </c>
      <c r="AO31">
        <f>IF(OR(AC31="",NOT(ISNUMBER(N31))),0,MAX(N31,0))</f>
        <v>655</v>
      </c>
      <c r="AP31">
        <f t="shared" si="16"/>
        <v>1524.0008781725921</v>
      </c>
      <c r="AQ31">
        <f>IF(OR(AC31="",NOT(ISNUMBER(O31))),0,MAX(O31,0)*S31)</f>
        <v>86840.532841563007</v>
      </c>
      <c r="AR31">
        <f t="shared" si="17"/>
        <v>202053.50887254634</v>
      </c>
    </row>
    <row r="32" spans="1:44" x14ac:dyDescent="0.25">
      <c r="A32">
        <v>130896</v>
      </c>
      <c r="B32" t="s">
        <v>30</v>
      </c>
      <c r="C32" t="s">
        <v>88</v>
      </c>
      <c r="D32">
        <v>9908610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s="5">
        <v>1660.0755240000001</v>
      </c>
      <c r="K32" t="s">
        <v>27</v>
      </c>
      <c r="L32" s="5">
        <v>5870.3186117699997</v>
      </c>
      <c r="M32" t="s">
        <v>89</v>
      </c>
      <c r="N32" s="12">
        <v>653</v>
      </c>
      <c r="O32">
        <v>104</v>
      </c>
      <c r="P32" t="s">
        <v>57</v>
      </c>
      <c r="Q32" s="5">
        <v>2376</v>
      </c>
      <c r="R32" s="5">
        <v>2274.30346788</v>
      </c>
      <c r="S32" s="10">
        <v>4989.7708200044999</v>
      </c>
      <c r="T32" s="8">
        <v>0.54196103851471411</v>
      </c>
      <c r="U32" s="5">
        <v>3258320.3454629378</v>
      </c>
      <c r="V32" s="5">
        <v>1765882.678240716</v>
      </c>
      <c r="W32" s="5">
        <v>0</v>
      </c>
      <c r="X32" s="5"/>
    </row>
    <row r="33" spans="1:44" x14ac:dyDescent="0.25">
      <c r="A33">
        <v>163777</v>
      </c>
      <c r="B33" t="s">
        <v>20</v>
      </c>
      <c r="C33" t="s">
        <v>90</v>
      </c>
      <c r="D33" t="s">
        <v>744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s="5">
        <v>1835.140042</v>
      </c>
      <c r="K33" t="s">
        <v>27</v>
      </c>
      <c r="L33" s="5">
        <v>5890.4364565200003</v>
      </c>
      <c r="M33" t="s">
        <v>91</v>
      </c>
      <c r="N33" s="12">
        <v>643</v>
      </c>
      <c r="O33">
        <v>88</v>
      </c>
      <c r="P33" t="s">
        <v>57</v>
      </c>
      <c r="Q33" s="5">
        <v>2715</v>
      </c>
      <c r="R33" s="5">
        <v>2514.1418575399998</v>
      </c>
      <c r="S33" s="10">
        <v>5006.8709880420001</v>
      </c>
      <c r="T33" s="8">
        <v>0.48008077610186811</v>
      </c>
      <c r="U33" s="5">
        <v>3219418.0453110058</v>
      </c>
      <c r="V33" s="5">
        <v>1545580.713789267</v>
      </c>
      <c r="W33" s="5">
        <v>0</v>
      </c>
      <c r="X33" s="5"/>
    </row>
    <row r="34" spans="1:44" x14ac:dyDescent="0.25">
      <c r="A34">
        <v>170259</v>
      </c>
      <c r="B34" t="s">
        <v>92</v>
      </c>
      <c r="C34" t="s">
        <v>93</v>
      </c>
      <c r="D34" t="s">
        <v>744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s="5">
        <v>2246.017018</v>
      </c>
      <c r="K34" t="s">
        <v>27</v>
      </c>
      <c r="L34" s="5">
        <v>7209.5506955999999</v>
      </c>
      <c r="M34" t="s">
        <v>94</v>
      </c>
      <c r="N34" s="12">
        <v>613</v>
      </c>
      <c r="O34">
        <v>16</v>
      </c>
      <c r="P34" t="s">
        <v>57</v>
      </c>
      <c r="Q34" s="5">
        <v>3094</v>
      </c>
      <c r="R34" s="5">
        <v>3077.0433146599999</v>
      </c>
      <c r="S34" s="10">
        <v>6128.1180912599993</v>
      </c>
      <c r="T34" s="8">
        <v>0.51349737208759261</v>
      </c>
      <c r="U34" s="5">
        <v>3756536.3899423801</v>
      </c>
      <c r="V34" s="5">
        <v>1928971.5643868239</v>
      </c>
      <c r="W34" s="5">
        <v>0</v>
      </c>
      <c r="X34" s="5"/>
    </row>
    <row r="35" spans="1:44" x14ac:dyDescent="0.25">
      <c r="A35">
        <v>170264</v>
      </c>
      <c r="B35" t="s">
        <v>30</v>
      </c>
      <c r="C35" t="s">
        <v>95</v>
      </c>
      <c r="D35" t="s">
        <v>744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s="5">
        <v>1664.4935559999999</v>
      </c>
      <c r="K35" t="s">
        <v>27</v>
      </c>
      <c r="L35" s="5">
        <v>5344.0871578200004</v>
      </c>
      <c r="M35" t="s">
        <v>96</v>
      </c>
      <c r="N35" s="12">
        <v>609</v>
      </c>
      <c r="O35">
        <v>30</v>
      </c>
      <c r="P35" t="s">
        <v>57</v>
      </c>
      <c r="Q35" s="5">
        <v>2296</v>
      </c>
      <c r="R35" s="5">
        <v>2280.35617172</v>
      </c>
      <c r="S35" s="10">
        <v>4542.4740841470002</v>
      </c>
      <c r="T35" s="8">
        <v>0.51421076727741455</v>
      </c>
      <c r="U35" s="5">
        <v>2766366.7172455229</v>
      </c>
      <c r="V35" s="5">
        <v>1422495.5522455231</v>
      </c>
      <c r="W35" s="5">
        <v>0</v>
      </c>
      <c r="X35" s="5"/>
    </row>
    <row r="36" spans="1:44" x14ac:dyDescent="0.25">
      <c r="A36">
        <v>156228</v>
      </c>
      <c r="B36" t="s">
        <v>30</v>
      </c>
      <c r="C36" t="s">
        <v>97</v>
      </c>
      <c r="D36" t="s">
        <v>759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s="5">
        <v>1202.8092119999999</v>
      </c>
      <c r="K36" t="s">
        <v>27</v>
      </c>
      <c r="L36" s="5">
        <v>3864.0301607400002</v>
      </c>
      <c r="M36" t="s">
        <v>98</v>
      </c>
      <c r="N36" s="12">
        <v>593</v>
      </c>
      <c r="O36">
        <v>19</v>
      </c>
      <c r="P36" t="s">
        <v>57</v>
      </c>
      <c r="Q36" s="5">
        <v>1719</v>
      </c>
      <c r="R36" s="5">
        <v>1647.8486204400001</v>
      </c>
      <c r="S36" s="10">
        <v>3284.4256366290001</v>
      </c>
      <c r="T36" s="8">
        <v>0.50013901009339601</v>
      </c>
      <c r="U36" s="5">
        <v>1947664.402520997</v>
      </c>
      <c r="V36" s="5">
        <v>974102.94627099705</v>
      </c>
      <c r="W36" s="5">
        <v>0</v>
      </c>
      <c r="X36" s="5"/>
    </row>
    <row r="37" spans="1:44" x14ac:dyDescent="0.25">
      <c r="A37">
        <v>1714636</v>
      </c>
      <c r="B37" t="s">
        <v>30</v>
      </c>
      <c r="C37" t="s">
        <v>99</v>
      </c>
      <c r="D37" t="s">
        <v>744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s="5">
        <v>1531.4003419999999</v>
      </c>
      <c r="K37" t="s">
        <v>27</v>
      </c>
      <c r="L37" s="5">
        <v>4916.93822946</v>
      </c>
      <c r="M37" t="s">
        <v>100</v>
      </c>
      <c r="N37" s="12">
        <v>589</v>
      </c>
      <c r="O37">
        <v>50</v>
      </c>
      <c r="P37" t="s">
        <v>57</v>
      </c>
      <c r="Q37" s="5">
        <v>2205</v>
      </c>
      <c r="R37" s="5">
        <v>2098.01846854</v>
      </c>
      <c r="S37" s="10">
        <v>4179.3974950410002</v>
      </c>
      <c r="T37" s="8">
        <v>0.49468121996432818</v>
      </c>
      <c r="U37" s="5">
        <v>2461665.1245791488</v>
      </c>
      <c r="V37" s="5">
        <v>1217739.506970454</v>
      </c>
      <c r="W37" s="5">
        <v>0</v>
      </c>
      <c r="X37" s="5"/>
    </row>
    <row r="38" spans="1:44" x14ac:dyDescent="0.25">
      <c r="A38">
        <v>130873</v>
      </c>
      <c r="B38" t="s">
        <v>20</v>
      </c>
      <c r="C38" t="s">
        <v>101</v>
      </c>
      <c r="D38" t="s">
        <v>760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s="5">
        <v>1767.765054</v>
      </c>
      <c r="K38" t="s">
        <v>27</v>
      </c>
      <c r="L38" s="5">
        <v>5673.88283916</v>
      </c>
      <c r="M38" t="s">
        <v>102</v>
      </c>
      <c r="N38" s="12">
        <v>576</v>
      </c>
      <c r="O38">
        <v>8</v>
      </c>
      <c r="P38" t="s">
        <v>57</v>
      </c>
      <c r="Q38" s="5">
        <v>2473</v>
      </c>
      <c r="R38" s="5">
        <v>2421.8381239800001</v>
      </c>
      <c r="S38" s="10">
        <v>4822.8004132859996</v>
      </c>
      <c r="T38" s="8">
        <v>0.5040779936581995</v>
      </c>
      <c r="U38" s="5">
        <v>2777933.0380527359</v>
      </c>
      <c r="V38" s="5">
        <v>1400294.9123384501</v>
      </c>
      <c r="W38" s="5">
        <v>0</v>
      </c>
      <c r="X38" s="5"/>
    </row>
    <row r="39" spans="1:44" x14ac:dyDescent="0.25">
      <c r="A39">
        <v>174293</v>
      </c>
      <c r="B39" t="s">
        <v>103</v>
      </c>
      <c r="C39" t="s">
        <v>104</v>
      </c>
      <c r="D39" t="s">
        <v>744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s="5">
        <v>2246.017018</v>
      </c>
      <c r="K39" t="s">
        <v>27</v>
      </c>
      <c r="L39" s="5">
        <v>7209.5506955999999</v>
      </c>
      <c r="M39" t="s">
        <v>105</v>
      </c>
      <c r="N39" s="12">
        <v>573</v>
      </c>
      <c r="O39">
        <v>33</v>
      </c>
      <c r="P39" t="s">
        <v>57</v>
      </c>
      <c r="Q39" s="5">
        <v>3097</v>
      </c>
      <c r="R39" s="5">
        <v>3077.0433146599999</v>
      </c>
      <c r="S39" s="10">
        <v>6128.1180912599993</v>
      </c>
      <c r="T39" s="8">
        <v>0.5152424567625391</v>
      </c>
      <c r="U39" s="5">
        <v>3511411.6662919801</v>
      </c>
      <c r="V39" s="5">
        <v>1809228.373644921</v>
      </c>
      <c r="W39" s="5">
        <v>0</v>
      </c>
      <c r="X39" s="5"/>
    </row>
    <row r="40" spans="1:44" x14ac:dyDescent="0.25">
      <c r="A40">
        <v>1752051</v>
      </c>
      <c r="B40" t="s">
        <v>20</v>
      </c>
      <c r="C40" t="s">
        <v>106</v>
      </c>
      <c r="D40" t="s">
        <v>744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s="5">
        <v>1306.08071</v>
      </c>
      <c r="K40" t="s">
        <v>27</v>
      </c>
      <c r="L40" s="5">
        <v>4411.3382673599999</v>
      </c>
      <c r="M40" t="s">
        <v>107</v>
      </c>
      <c r="N40" s="12">
        <v>517</v>
      </c>
      <c r="O40">
        <v>208</v>
      </c>
      <c r="P40" t="s">
        <v>57</v>
      </c>
      <c r="Q40" s="5">
        <v>1861</v>
      </c>
      <c r="R40" s="5">
        <v>1789.3305726999999</v>
      </c>
      <c r="S40" s="10">
        <v>3749.6375272559999</v>
      </c>
      <c r="T40" s="8">
        <v>0.52540457437652432</v>
      </c>
      <c r="U40" s="5">
        <v>1938562.6015913519</v>
      </c>
      <c r="V40" s="5">
        <v>1018529.6585913521</v>
      </c>
      <c r="W40" s="5">
        <v>0</v>
      </c>
      <c r="X40" s="5"/>
    </row>
    <row r="41" spans="1:44" x14ac:dyDescent="0.25">
      <c r="A41">
        <v>163778</v>
      </c>
      <c r="B41" t="s">
        <v>20</v>
      </c>
      <c r="C41" t="s">
        <v>108</v>
      </c>
      <c r="D41">
        <v>9722610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s="5">
        <v>1587.1779959999999</v>
      </c>
      <c r="K41" t="s">
        <v>27</v>
      </c>
      <c r="L41" s="5">
        <v>5097.4509419699998</v>
      </c>
      <c r="M41" t="s">
        <v>109</v>
      </c>
      <c r="N41" s="12">
        <v>513</v>
      </c>
      <c r="O41">
        <v>162</v>
      </c>
      <c r="P41" t="s">
        <v>57</v>
      </c>
      <c r="Q41" s="5">
        <v>2148</v>
      </c>
      <c r="R41" s="5">
        <v>2174.4338545199998</v>
      </c>
      <c r="S41" s="10">
        <v>4332.8333006744997</v>
      </c>
      <c r="T41" s="8">
        <v>0.52398710804709436</v>
      </c>
      <c r="U41" s="5">
        <v>2222743.4832460182</v>
      </c>
      <c r="V41" s="5">
        <v>1164688.9297166059</v>
      </c>
      <c r="W41" s="5">
        <v>0</v>
      </c>
      <c r="X41" s="5"/>
    </row>
    <row r="42" spans="1:44" x14ac:dyDescent="0.25">
      <c r="A42">
        <v>1752061</v>
      </c>
      <c r="B42" t="s">
        <v>30</v>
      </c>
      <c r="C42" t="s">
        <v>110</v>
      </c>
      <c r="D42" t="s">
        <v>744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s="5">
        <v>1430.3378600000001</v>
      </c>
      <c r="K42" t="s">
        <v>27</v>
      </c>
      <c r="L42" s="5">
        <v>4499.3260155899998</v>
      </c>
      <c r="M42" t="s">
        <v>111</v>
      </c>
      <c r="N42" s="12">
        <v>510</v>
      </c>
      <c r="O42">
        <v>11</v>
      </c>
      <c r="P42" t="s">
        <v>57</v>
      </c>
      <c r="Q42" s="5">
        <v>1977</v>
      </c>
      <c r="R42" s="5">
        <v>1959.5628681999999</v>
      </c>
      <c r="S42" s="10">
        <v>3824.4271132515</v>
      </c>
      <c r="T42" s="8">
        <v>0.50267627620799771</v>
      </c>
      <c r="U42" s="5">
        <v>1950457.827758265</v>
      </c>
      <c r="V42" s="5">
        <v>980448.87775826466</v>
      </c>
      <c r="W42" s="5">
        <v>0</v>
      </c>
    </row>
    <row r="43" spans="1:44" x14ac:dyDescent="0.25">
      <c r="A43">
        <v>130932</v>
      </c>
      <c r="B43" t="s">
        <v>20</v>
      </c>
      <c r="C43" t="s">
        <v>112</v>
      </c>
      <c r="D43">
        <v>9999610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s="5">
        <v>1615.8952039999999</v>
      </c>
      <c r="K43" t="s">
        <v>27</v>
      </c>
      <c r="L43" s="5">
        <v>5288.5790278799996</v>
      </c>
      <c r="M43" t="s">
        <v>113</v>
      </c>
      <c r="N43" s="12">
        <v>503</v>
      </c>
      <c r="O43">
        <v>109</v>
      </c>
      <c r="P43" t="s">
        <v>57</v>
      </c>
      <c r="Q43" s="5">
        <v>2326</v>
      </c>
      <c r="R43" s="5">
        <v>2213.7764294799999</v>
      </c>
      <c r="S43" s="10">
        <v>4495.2921736980006</v>
      </c>
      <c r="T43" s="8">
        <v>0.504911415800811</v>
      </c>
      <c r="U43" s="5">
        <v>2261131.963370095</v>
      </c>
      <c r="V43" s="5">
        <v>1141671.3409376619</v>
      </c>
      <c r="W43" s="5">
        <v>0</v>
      </c>
      <c r="X43" s="5"/>
    </row>
    <row r="44" spans="1:44" x14ac:dyDescent="0.25">
      <c r="A44">
        <v>130917</v>
      </c>
      <c r="B44" t="s">
        <v>20</v>
      </c>
      <c r="C44" t="s">
        <v>114</v>
      </c>
      <c r="D44">
        <v>9914311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s="5">
        <v>1987.009892</v>
      </c>
      <c r="K44" t="s">
        <v>27</v>
      </c>
      <c r="L44" s="5">
        <v>6379.13742903</v>
      </c>
      <c r="M44" t="s">
        <v>115</v>
      </c>
      <c r="N44" s="12">
        <v>493</v>
      </c>
      <c r="O44">
        <v>10</v>
      </c>
      <c r="P44" t="s">
        <v>57</v>
      </c>
      <c r="Q44" s="5">
        <v>2805</v>
      </c>
      <c r="R44" s="5">
        <v>2722.20355204</v>
      </c>
      <c r="S44" s="10">
        <v>5422.2668146755004</v>
      </c>
      <c r="T44" s="8">
        <v>0.50362284502204546</v>
      </c>
      <c r="U44" s="5">
        <v>2673177.5396350208</v>
      </c>
      <c r="V44" s="5">
        <v>1346273.2777600209</v>
      </c>
      <c r="W44" s="5">
        <v>0</v>
      </c>
    </row>
    <row r="45" spans="1:44" x14ac:dyDescent="0.25">
      <c r="A45">
        <v>156221</v>
      </c>
      <c r="B45" t="s">
        <v>30</v>
      </c>
      <c r="C45" t="s">
        <v>116</v>
      </c>
      <c r="D45" t="s">
        <v>744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s="5">
        <v>1452.4280200000001</v>
      </c>
      <c r="K45" t="s">
        <v>27</v>
      </c>
      <c r="L45" s="5">
        <v>4662.6486718200003</v>
      </c>
      <c r="M45" t="s">
        <v>117</v>
      </c>
      <c r="N45" s="12">
        <v>488</v>
      </c>
      <c r="O45">
        <v>13</v>
      </c>
      <c r="P45" t="s">
        <v>57</v>
      </c>
      <c r="Q45" s="5">
        <v>2122</v>
      </c>
      <c r="R45" s="5">
        <v>1989.8263873999999</v>
      </c>
      <c r="S45" s="10">
        <v>3963.2513710469998</v>
      </c>
      <c r="T45" s="8">
        <v>0.48741603781432219</v>
      </c>
      <c r="U45" s="5">
        <v>1934066.669070936</v>
      </c>
      <c r="V45" s="5">
        <v>942695.11270729953</v>
      </c>
      <c r="W45" s="5">
        <v>0</v>
      </c>
      <c r="X45" s="5"/>
    </row>
    <row r="46" spans="1:44" x14ac:dyDescent="0.25">
      <c r="A46">
        <v>130871</v>
      </c>
      <c r="B46" t="s">
        <v>20</v>
      </c>
      <c r="C46" t="s">
        <v>118</v>
      </c>
      <c r="D46">
        <v>9567421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s="5">
        <v>1529.1913259999999</v>
      </c>
      <c r="K46" t="s">
        <v>27</v>
      </c>
      <c r="L46" s="5">
        <v>4907.0077188599998</v>
      </c>
      <c r="M46" t="s">
        <v>119</v>
      </c>
      <c r="N46" s="12">
        <v>471</v>
      </c>
      <c r="O46">
        <v>114</v>
      </c>
      <c r="P46" t="s">
        <v>57</v>
      </c>
      <c r="Q46" s="5">
        <v>2221</v>
      </c>
      <c r="R46" s="5">
        <v>2094.9921166200002</v>
      </c>
      <c r="S46" s="10">
        <v>4170.9565610310001</v>
      </c>
      <c r="T46" s="8">
        <v>0.49224389394064222</v>
      </c>
      <c r="U46" s="5">
        <v>1964520.540245601</v>
      </c>
      <c r="V46" s="5">
        <v>967023.24045686866</v>
      </c>
      <c r="W46" s="5">
        <v>0</v>
      </c>
      <c r="X46" s="5"/>
    </row>
    <row r="47" spans="1:44" x14ac:dyDescent="0.25">
      <c r="A47">
        <v>130925</v>
      </c>
      <c r="B47" t="s">
        <v>20</v>
      </c>
      <c r="C47" t="s">
        <v>120</v>
      </c>
      <c r="D47" t="s">
        <v>761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s="5">
        <v>1379.5304920000001</v>
      </c>
      <c r="K47" t="s">
        <v>27</v>
      </c>
      <c r="L47" s="5">
        <v>4430.2233590699998</v>
      </c>
      <c r="M47" t="s">
        <v>121</v>
      </c>
      <c r="N47" s="12">
        <v>467</v>
      </c>
      <c r="O47">
        <v>1</v>
      </c>
      <c r="P47" t="s">
        <v>57</v>
      </c>
      <c r="Q47" s="5">
        <v>1865</v>
      </c>
      <c r="R47" s="5">
        <v>1889.95677404</v>
      </c>
      <c r="S47" s="10">
        <v>3765.6898552094999</v>
      </c>
      <c r="T47" s="8">
        <v>0.52756420866537579</v>
      </c>
      <c r="U47" s="5">
        <v>1758577.162382836</v>
      </c>
      <c r="V47" s="5">
        <v>927762.36904950312</v>
      </c>
      <c r="W47" s="5">
        <v>3603</v>
      </c>
      <c r="X47" s="8">
        <f>1-(S47/W47)</f>
        <v>-4.5153998115320615E-2</v>
      </c>
      <c r="Z47" t="s">
        <v>885</v>
      </c>
      <c r="AB47">
        <f>A47</f>
        <v>130925</v>
      </c>
      <c r="AC47">
        <f>IFERROR(IF(OR(NOT(ISNUMBER(S47)),NOT(ISNUMBER(W47))),"",IF(OR(S47&lt;=0,W47&lt;=0),"",(1-S47/W47)*100)),"")</f>
        <v>-4.5153998115320615</v>
      </c>
      <c r="AD47">
        <f>IF(AC47="","",(MAX(S47,W47)/MIN(S47,W47)-1)*100)</f>
        <v>4.5153998115320615</v>
      </c>
      <c r="AE47">
        <f>IF(AC47="","",ABS(W47-S47))</f>
        <v>162.68985520949991</v>
      </c>
      <c r="AF47">
        <f>IF(AC47="","",IF(AND(AE47&lt;MAX(Расч!$B$11,S47*Расч!$B$12),IF(AD47&lt;Расч!$B$7,0,IF(AD47&lt;Расч!$B$8,1,IF(AD47&lt;Расч!$B$9,2,IF(AD47&lt;Расч!$B$10,3,4))))&gt;1),1,IF(AD47&lt;Расч!$B$7,0,IF(AD47&lt;Расч!$B$8,1,IF(AD47&lt;Расч!$B$9,2,IF(AD47&lt;Расч!$B$10,3,4))))))</f>
        <v>0</v>
      </c>
      <c r="AK47">
        <f>IF(AC47="","",AC47)</f>
        <v>-4.5153998115320615</v>
      </c>
      <c r="AL47">
        <f>IF(AE47="","",AE47)</f>
        <v>162.68985520949991</v>
      </c>
      <c r="AM47">
        <f>IF(AF47="","",AF47)</f>
        <v>0</v>
      </c>
      <c r="AN47" t="str">
        <f>IF(AM47="","нет данных",CHOOSE(AM47+1,"Норма","Лёгкое отклонение","Заметный разброс","Выброс","Экстремальный выброс"))</f>
        <v>Норма</v>
      </c>
      <c r="AO47">
        <f>IF(OR(AC47="",NOT(ISNUMBER(N47))),0,MAX(N47,0))</f>
        <v>467</v>
      </c>
      <c r="AP47">
        <f>IF(AC47="",0,AC47*AO47)</f>
        <v>-2108.6917119854729</v>
      </c>
      <c r="AQ47">
        <f>IF(OR(AC47="",NOT(ISNUMBER(O47))),0,MAX(O47,0)*S47)</f>
        <v>3765.6898552094999</v>
      </c>
      <c r="AR47">
        <f>IF(AC47="",0,AC47*AQ47)</f>
        <v>-17003.595262501171</v>
      </c>
    </row>
    <row r="48" spans="1:44" x14ac:dyDescent="0.25">
      <c r="A48">
        <v>1714643</v>
      </c>
      <c r="B48" t="s">
        <v>30</v>
      </c>
      <c r="C48" t="s">
        <v>122</v>
      </c>
      <c r="D48" t="s">
        <v>744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s="5">
        <v>1449.1144959999999</v>
      </c>
      <c r="K48" t="s">
        <v>27</v>
      </c>
      <c r="L48" s="5">
        <v>4652.7524043599997</v>
      </c>
      <c r="M48" t="s">
        <v>123</v>
      </c>
      <c r="N48" s="12">
        <v>437</v>
      </c>
      <c r="O48">
        <v>8</v>
      </c>
      <c r="P48" t="s">
        <v>57</v>
      </c>
      <c r="Q48" s="5">
        <v>1961</v>
      </c>
      <c r="R48" s="5">
        <v>1985.28685952</v>
      </c>
      <c r="S48" s="10">
        <v>3954.8395437059989</v>
      </c>
      <c r="T48" s="8">
        <v>0.5257946044904277</v>
      </c>
      <c r="U48" s="5">
        <v>1728264.880599522</v>
      </c>
      <c r="V48" s="5">
        <v>908712.3493495218</v>
      </c>
      <c r="W48" s="5">
        <v>0</v>
      </c>
      <c r="X48" s="5"/>
    </row>
    <row r="49" spans="1:44" x14ac:dyDescent="0.25">
      <c r="A49">
        <v>130893</v>
      </c>
      <c r="B49" t="s">
        <v>30</v>
      </c>
      <c r="C49" t="s">
        <v>124</v>
      </c>
      <c r="D49" t="s">
        <v>738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s="5">
        <v>1440.830686</v>
      </c>
      <c r="K49" t="s">
        <v>27</v>
      </c>
      <c r="L49" s="5">
        <v>4626.9159552299998</v>
      </c>
      <c r="M49" t="s">
        <v>125</v>
      </c>
      <c r="N49" s="12">
        <v>420</v>
      </c>
      <c r="O49">
        <v>48</v>
      </c>
      <c r="P49" t="s">
        <v>57</v>
      </c>
      <c r="Q49" s="5">
        <v>2038</v>
      </c>
      <c r="R49" s="5">
        <v>1973.9380398200001</v>
      </c>
      <c r="S49" s="10">
        <v>3932.8785619455002</v>
      </c>
      <c r="T49" s="8">
        <v>0.5047378498527525</v>
      </c>
      <c r="U49" s="5">
        <v>1651808.9960171101</v>
      </c>
      <c r="V49" s="5">
        <v>833730.52101710986</v>
      </c>
      <c r="W49" s="5">
        <v>0</v>
      </c>
      <c r="X49" s="5"/>
    </row>
    <row r="50" spans="1:44" x14ac:dyDescent="0.25">
      <c r="A50">
        <v>130908</v>
      </c>
      <c r="B50" t="s">
        <v>20</v>
      </c>
      <c r="C50" t="s">
        <v>126</v>
      </c>
      <c r="D50" t="s">
        <v>726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s="5">
        <v>1459.0550679999999</v>
      </c>
      <c r="K50" t="s">
        <v>27</v>
      </c>
      <c r="L50" s="5">
        <v>5223.5513050199997</v>
      </c>
      <c r="M50" t="s">
        <v>127</v>
      </c>
      <c r="N50" s="12">
        <v>400</v>
      </c>
      <c r="O50">
        <v>47</v>
      </c>
      <c r="P50" t="s">
        <v>57</v>
      </c>
      <c r="Q50" s="5">
        <v>2149</v>
      </c>
      <c r="R50" s="5">
        <v>1998.90544316</v>
      </c>
      <c r="S50" s="10">
        <v>4440.0186092670001</v>
      </c>
      <c r="T50" s="8">
        <v>0.53743349785417194</v>
      </c>
      <c r="U50" s="5">
        <v>1776007.4437068</v>
      </c>
      <c r="V50" s="5">
        <v>954485.89268639183</v>
      </c>
      <c r="W50" s="5">
        <v>4447.8999999999996</v>
      </c>
      <c r="X50" s="8">
        <f>1-(S50/W50)</f>
        <v>1.7719352352795203E-3</v>
      </c>
      <c r="AB50">
        <f>A50</f>
        <v>130908</v>
      </c>
      <c r="AC50">
        <f>IFERROR(IF(OR(NOT(ISNUMBER(S50)),NOT(ISNUMBER(W50))),"",IF(OR(S50&lt;=0,W50&lt;=0),"",(1-S50/W50)*100)),"")</f>
        <v>0.17719352352795203</v>
      </c>
      <c r="AD50">
        <f>IF(AC50="","",(MAX(S50,W50)/MIN(S50,W50)-1)*100)</f>
        <v>0.17750805630747379</v>
      </c>
      <c r="AE50">
        <f>IF(AC50="","",ABS(W50-S50))</f>
        <v>7.8813907329995345</v>
      </c>
      <c r="AF50">
        <f>IF(AC50="","",IF(AND(AE50&lt;MAX(Расч!$B$11,S50*Расч!$B$12),IF(AD50&lt;Расч!$B$7,0,IF(AD50&lt;Расч!$B$8,1,IF(AD50&lt;Расч!$B$9,2,IF(AD50&lt;Расч!$B$10,3,4))))&gt;1),1,IF(AD50&lt;Расч!$B$7,0,IF(AD50&lt;Расч!$B$8,1,IF(AD50&lt;Расч!$B$9,2,IF(AD50&lt;Расч!$B$10,3,4))))))</f>
        <v>0</v>
      </c>
      <c r="AK50">
        <f t="shared" ref="AK50:AK52" si="18">IF(AC50="","",AC50)</f>
        <v>0.17719352352795203</v>
      </c>
      <c r="AL50">
        <f t="shared" ref="AL50:AL52" si="19">IF(AE50="","",AE50)</f>
        <v>7.8813907329995345</v>
      </c>
      <c r="AM50">
        <f t="shared" ref="AM50:AM52" si="20">IF(AF50="","",AF50)</f>
        <v>0</v>
      </c>
      <c r="AN50" t="str">
        <f t="shared" ref="AN50:AN52" si="21">IF(AM50="","нет данных",CHOOSE(AM50+1,"Норма","Лёгкое отклонение","Заметный разброс","Выброс","Экстремальный выброс"))</f>
        <v>Норма</v>
      </c>
      <c r="AO50">
        <f>IF(OR(AC50="",NOT(ISNUMBER(N50))),0,MAX(N50,0))</f>
        <v>400</v>
      </c>
      <c r="AP50">
        <f t="shared" ref="AP50:AP52" si="22">IF(AC50="",0,AC50*AO50)</f>
        <v>70.877409411180821</v>
      </c>
      <c r="AQ50">
        <f>IF(OR(AC50="",NOT(ISNUMBER(O50))),0,MAX(O50,0)*S50)</f>
        <v>208680.874635549</v>
      </c>
      <c r="AR50">
        <f t="shared" ref="AR50:AR52" si="23">IF(AC50="",0,AC50*AQ50)</f>
        <v>36976.899469567761</v>
      </c>
    </row>
    <row r="51" spans="1:44" x14ac:dyDescent="0.25">
      <c r="A51">
        <v>156226</v>
      </c>
      <c r="B51" t="s">
        <v>30</v>
      </c>
      <c r="C51" t="s">
        <v>128</v>
      </c>
      <c r="D51" t="s">
        <v>717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s="5">
        <v>1445.800972</v>
      </c>
      <c r="K51" t="s">
        <v>27</v>
      </c>
      <c r="L51" s="5">
        <v>4501.5860628299997</v>
      </c>
      <c r="M51" t="s">
        <v>129</v>
      </c>
      <c r="N51" s="12">
        <v>385</v>
      </c>
      <c r="O51">
        <v>27</v>
      </c>
      <c r="P51" t="s">
        <v>57</v>
      </c>
      <c r="Q51" s="5">
        <v>1964</v>
      </c>
      <c r="R51" s="5">
        <v>1980.7473316400001</v>
      </c>
      <c r="S51" s="10">
        <v>3826.348153405499</v>
      </c>
      <c r="T51" s="8">
        <v>0.50727229558097064</v>
      </c>
      <c r="U51" s="5">
        <v>1473144.039061117</v>
      </c>
      <c r="V51" s="5">
        <v>747285.15841595607</v>
      </c>
      <c r="W51" s="5">
        <v>3655.26</v>
      </c>
      <c r="X51" s="8">
        <f>1-(S51/W51)</f>
        <v>-4.6806014730962797E-2</v>
      </c>
      <c r="AB51">
        <f>A51</f>
        <v>156226</v>
      </c>
      <c r="AC51">
        <f>IFERROR(IF(OR(NOT(ISNUMBER(S51)),NOT(ISNUMBER(W51))),"",IF(OR(S51&lt;=0,W51&lt;=0),"",(1-S51/W51)*100)),"")</f>
        <v>-4.6806014730962797</v>
      </c>
      <c r="AD51">
        <f>IF(AC51="","",(MAX(S51,W51)/MIN(S51,W51)-1)*100)</f>
        <v>4.6806014730962797</v>
      </c>
      <c r="AE51">
        <f>IF(AC51="","",ABS(W51-S51))</f>
        <v>171.08815340549882</v>
      </c>
      <c r="AF51">
        <f>IF(AC51="","",IF(AND(AE51&lt;MAX(Расч!$B$11,S51*Расч!$B$12),IF(AD51&lt;Расч!$B$7,0,IF(AD51&lt;Расч!$B$8,1,IF(AD51&lt;Расч!$B$9,2,IF(AD51&lt;Расч!$B$10,3,4))))&gt;1),1,IF(AD51&lt;Расч!$B$7,0,IF(AD51&lt;Расч!$B$8,1,IF(AD51&lt;Расч!$B$9,2,IF(AD51&lt;Расч!$B$10,3,4))))))</f>
        <v>0</v>
      </c>
      <c r="AK51">
        <f t="shared" si="18"/>
        <v>-4.6806014730962797</v>
      </c>
      <c r="AL51">
        <f t="shared" si="19"/>
        <v>171.08815340549882</v>
      </c>
      <c r="AM51">
        <f t="shared" si="20"/>
        <v>0</v>
      </c>
      <c r="AN51" t="str">
        <f t="shared" si="21"/>
        <v>Норма</v>
      </c>
      <c r="AO51">
        <f>IF(OR(AC51="",NOT(ISNUMBER(N51))),0,MAX(N51,0))</f>
        <v>385</v>
      </c>
      <c r="AP51">
        <f t="shared" si="22"/>
        <v>-1802.0315671420676</v>
      </c>
      <c r="AQ51">
        <f>IF(OR(AC51="",NOT(ISNUMBER(O51))),0,MAX(O51,0)*S51)</f>
        <v>103311.40014194847</v>
      </c>
      <c r="AR51">
        <f t="shared" si="23"/>
        <v>-483559.4916920432</v>
      </c>
    </row>
    <row r="52" spans="1:44" x14ac:dyDescent="0.25">
      <c r="A52">
        <v>130875</v>
      </c>
      <c r="B52" t="s">
        <v>30</v>
      </c>
      <c r="C52" t="s">
        <v>130</v>
      </c>
      <c r="D52" t="s">
        <v>762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s="5">
        <v>1308.8419799999999</v>
      </c>
      <c r="K52" t="s">
        <v>27</v>
      </c>
      <c r="L52" s="5">
        <v>4201.77025056</v>
      </c>
      <c r="M52" t="s">
        <v>131</v>
      </c>
      <c r="N52" s="12">
        <v>371</v>
      </c>
      <c r="O52">
        <v>23</v>
      </c>
      <c r="P52" t="s">
        <v>57</v>
      </c>
      <c r="Q52" s="5">
        <v>1870</v>
      </c>
      <c r="R52" s="5">
        <v>1793.1135125999999</v>
      </c>
      <c r="S52" s="10">
        <v>3571.5047129760001</v>
      </c>
      <c r="T52" s="8">
        <v>0.49779982672352741</v>
      </c>
      <c r="U52" s="5">
        <v>1325028.248514096</v>
      </c>
      <c r="V52" s="5">
        <v>659598.83251409605</v>
      </c>
      <c r="W52" s="5">
        <v>5207.57</v>
      </c>
      <c r="X52" s="8">
        <f>1-(S52/W52)</f>
        <v>0.31417057994880526</v>
      </c>
      <c r="AB52">
        <f>A52</f>
        <v>130875</v>
      </c>
      <c r="AC52">
        <f>IFERROR(IF(OR(NOT(ISNUMBER(S52)),NOT(ISNUMBER(W52))),"",IF(OR(S52&lt;=0,W52&lt;=0),"",(1-S52/W52)*100)),"")</f>
        <v>31.417057994880526</v>
      </c>
      <c r="AD52">
        <f>IF(AC52="","",(MAX(S52,W52)/MIN(S52,W52)-1)*100)</f>
        <v>45.808851408758969</v>
      </c>
      <c r="AE52">
        <f>IF(AC52="","",ABS(W52-S52))</f>
        <v>1636.0652870239996</v>
      </c>
      <c r="AF52">
        <f>IF(AC52="","",IF(AND(AE52&lt;MAX(Расч!$B$11,S52*Расч!$B$12),IF(AD52&lt;Расч!$B$7,0,IF(AD52&lt;Расч!$B$8,1,IF(AD52&lt;Расч!$B$9,2,IF(AD52&lt;Расч!$B$10,3,4))))&gt;1),1,IF(AD52&lt;Расч!$B$7,0,IF(AD52&lt;Расч!$B$8,1,IF(AD52&lt;Расч!$B$9,2,IF(AD52&lt;Расч!$B$10,3,4))))))</f>
        <v>2</v>
      </c>
      <c r="AK52">
        <f t="shared" si="18"/>
        <v>31.417057994880526</v>
      </c>
      <c r="AL52">
        <f t="shared" si="19"/>
        <v>1636.0652870239996</v>
      </c>
      <c r="AM52">
        <f t="shared" si="20"/>
        <v>2</v>
      </c>
      <c r="AN52" t="str">
        <f t="shared" si="21"/>
        <v>Заметный разброс</v>
      </c>
      <c r="AO52">
        <f>IF(OR(AC52="",NOT(ISNUMBER(N52))),0,MAX(N52,0))</f>
        <v>371</v>
      </c>
      <c r="AP52">
        <f t="shared" si="22"/>
        <v>11655.728516100675</v>
      </c>
      <c r="AQ52">
        <f>IF(OR(AC52="",NOT(ISNUMBER(O52))),0,MAX(O52,0)*S52)</f>
        <v>82144.608398448006</v>
      </c>
      <c r="AR52">
        <f t="shared" si="23"/>
        <v>2580741.9260207908</v>
      </c>
    </row>
    <row r="53" spans="1:44" x14ac:dyDescent="0.25">
      <c r="A53">
        <v>130910</v>
      </c>
      <c r="B53" t="s">
        <v>20</v>
      </c>
      <c r="C53" t="s">
        <v>132</v>
      </c>
      <c r="D53" t="s">
        <v>763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s="5">
        <v>1916.3213800000001</v>
      </c>
      <c r="K53" t="s">
        <v>27</v>
      </c>
      <c r="L53" s="5">
        <v>6152.6704226399997</v>
      </c>
      <c r="M53" t="s">
        <v>133</v>
      </c>
      <c r="N53" s="12">
        <v>369</v>
      </c>
      <c r="O53">
        <v>7</v>
      </c>
      <c r="P53" t="s">
        <v>57</v>
      </c>
      <c r="Q53" s="5">
        <v>2840</v>
      </c>
      <c r="R53" s="5">
        <v>2625.360290600001</v>
      </c>
      <c r="S53" s="10">
        <v>5229.7698592439992</v>
      </c>
      <c r="T53" s="8">
        <v>0.48080756971026017</v>
      </c>
      <c r="U53" s="5">
        <v>1929785.0780610361</v>
      </c>
      <c r="V53" s="5">
        <v>927855.2734456514</v>
      </c>
      <c r="W53" s="5">
        <v>0</v>
      </c>
      <c r="X53" s="5"/>
    </row>
    <row r="54" spans="1:44" x14ac:dyDescent="0.25">
      <c r="A54">
        <v>130948</v>
      </c>
      <c r="B54" t="s">
        <v>20</v>
      </c>
      <c r="C54" t="s">
        <v>134</v>
      </c>
      <c r="D54" t="s">
        <v>764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s="5">
        <v>1687.688224</v>
      </c>
      <c r="K54" t="s">
        <v>27</v>
      </c>
      <c r="L54" s="5">
        <v>5419.5761599499992</v>
      </c>
      <c r="M54" t="s">
        <v>135</v>
      </c>
      <c r="N54" s="12">
        <v>368</v>
      </c>
      <c r="O54">
        <v>27</v>
      </c>
      <c r="P54" t="s">
        <v>57</v>
      </c>
      <c r="Q54" s="5">
        <v>2423</v>
      </c>
      <c r="R54" s="5">
        <v>2312.1328668800002</v>
      </c>
      <c r="S54" s="10">
        <v>4606.6397359574994</v>
      </c>
      <c r="T54" s="8">
        <v>0.51381016164792359</v>
      </c>
      <c r="U54" s="5">
        <v>1695243.42283236</v>
      </c>
      <c r="V54" s="5">
        <v>871033.29711807403</v>
      </c>
      <c r="W54" s="5">
        <v>3964</v>
      </c>
      <c r="X54" s="8">
        <f>1-(S54/W54)</f>
        <v>-0.16211900503468701</v>
      </c>
      <c r="AB54">
        <f>A54</f>
        <v>130948</v>
      </c>
      <c r="AC54">
        <f>IFERROR(IF(OR(NOT(ISNUMBER(S54)),NOT(ISNUMBER(W54))),"",IF(OR(S54&lt;=0,W54&lt;=0),"",(1-S54/W54)*100)),"")</f>
        <v>-16.211900503468701</v>
      </c>
      <c r="AD54">
        <f>IF(AC54="","",(MAX(S54,W54)/MIN(S54,W54)-1)*100)</f>
        <v>16.211900503468701</v>
      </c>
      <c r="AE54">
        <f>IF(AC54="","",ABS(W54-S54))</f>
        <v>642.6397359574994</v>
      </c>
      <c r="AF54">
        <f>IF(AC54="","",IF(AND(AE54&lt;MAX(Расч!$B$11,S54*Расч!$B$12),IF(AD54&lt;Расч!$B$7,0,IF(AD54&lt;Расч!$B$8,1,IF(AD54&lt;Расч!$B$9,2,IF(AD54&lt;Расч!$B$10,3,4))))&gt;1),1,IF(AD54&lt;Расч!$B$7,0,IF(AD54&lt;Расч!$B$8,1,IF(AD54&lt;Расч!$B$9,2,IF(AD54&lt;Расч!$B$10,3,4))))))</f>
        <v>0</v>
      </c>
      <c r="AK54">
        <f>IF(AC54="","",AC54)</f>
        <v>-16.211900503468701</v>
      </c>
      <c r="AL54">
        <f>IF(AE54="","",AE54)</f>
        <v>642.6397359574994</v>
      </c>
      <c r="AM54">
        <f>IF(AF54="","",AF54)</f>
        <v>0</v>
      </c>
      <c r="AN54" t="str">
        <f>IF(AM54="","нет данных",CHOOSE(AM54+1,"Норма","Лёгкое отклонение","Заметный разброс","Выброс","Экстремальный выброс"))</f>
        <v>Норма</v>
      </c>
      <c r="AO54">
        <f>IF(OR(AC54="",NOT(ISNUMBER(N54))),0,MAX(N54,0))</f>
        <v>368</v>
      </c>
      <c r="AP54">
        <f>IF(AC54="",0,AC54*AO54)</f>
        <v>-5965.9793852764824</v>
      </c>
      <c r="AQ54">
        <f>IF(OR(AC54="",NOT(ISNUMBER(O54))),0,MAX(O54,0)*S54)</f>
        <v>124379.27287085248</v>
      </c>
      <c r="AR54">
        <f>IF(AC54="",0,AC54*AQ54)</f>
        <v>-2016424.3964760443</v>
      </c>
    </row>
    <row r="55" spans="1:44" x14ac:dyDescent="0.25">
      <c r="A55">
        <v>156216</v>
      </c>
      <c r="B55" t="s">
        <v>20</v>
      </c>
      <c r="C55" t="s">
        <v>136</v>
      </c>
      <c r="D55" t="s">
        <v>765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s="5">
        <v>1482.8019899999999</v>
      </c>
      <c r="K55" t="s">
        <v>27</v>
      </c>
      <c r="L55" s="5">
        <v>4760.0361619799996</v>
      </c>
      <c r="M55" t="s">
        <v>137</v>
      </c>
      <c r="N55" s="12">
        <v>361</v>
      </c>
      <c r="O55">
        <v>4</v>
      </c>
      <c r="P55" t="s">
        <v>57</v>
      </c>
      <c r="Q55" s="5">
        <v>2120</v>
      </c>
      <c r="R55" s="5">
        <v>2031.4387263000001</v>
      </c>
      <c r="S55" s="10">
        <v>4046.0307376830001</v>
      </c>
      <c r="T55" s="8">
        <v>0.49769412746383562</v>
      </c>
      <c r="U55" s="5">
        <v>1460617.0963035631</v>
      </c>
      <c r="V55" s="5">
        <v>726940.55130356282</v>
      </c>
      <c r="W55" s="5">
        <v>0</v>
      </c>
      <c r="X55" s="5"/>
    </row>
    <row r="56" spans="1:44" x14ac:dyDescent="0.25">
      <c r="A56">
        <v>130933</v>
      </c>
      <c r="B56" t="s">
        <v>20</v>
      </c>
      <c r="C56" t="s">
        <v>138</v>
      </c>
      <c r="D56" t="s">
        <v>766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s="5">
        <v>1572.8193920000001</v>
      </c>
      <c r="K56" t="s">
        <v>27</v>
      </c>
      <c r="L56" s="5">
        <v>5050.0584362099999</v>
      </c>
      <c r="M56" t="s">
        <v>139</v>
      </c>
      <c r="N56" s="12">
        <v>354</v>
      </c>
      <c r="O56">
        <v>60</v>
      </c>
      <c r="P56" t="s">
        <v>57</v>
      </c>
      <c r="Q56" s="5">
        <v>2246</v>
      </c>
      <c r="R56" s="5">
        <v>2154.7625670399998</v>
      </c>
      <c r="S56" s="10">
        <v>4292.5496707784996</v>
      </c>
      <c r="T56" s="8">
        <v>0.49986776539104311</v>
      </c>
      <c r="U56" s="5">
        <v>1519562.5834555889</v>
      </c>
      <c r="V56" s="5">
        <v>759580.35296378564</v>
      </c>
      <c r="W56" s="5">
        <v>3660.4</v>
      </c>
      <c r="X56" s="8">
        <f>1-(S56/W56)</f>
        <v>-0.17269961500887865</v>
      </c>
      <c r="AB56">
        <f>A56</f>
        <v>130933</v>
      </c>
      <c r="AC56">
        <f>IFERROR(IF(OR(NOT(ISNUMBER(S56)),NOT(ISNUMBER(W56))),"",IF(OR(S56&lt;=0,W56&lt;=0),"",(1-S56/W56)*100)),"")</f>
        <v>-17.269961500887867</v>
      </c>
      <c r="AD56">
        <f>IF(AC56="","",(MAX(S56,W56)/MIN(S56,W56)-1)*100)</f>
        <v>17.269961500887867</v>
      </c>
      <c r="AE56">
        <f>IF(AC56="","",ABS(W56-S56))</f>
        <v>632.14967077849951</v>
      </c>
      <c r="AF56">
        <f>IF(AC56="","",IF(AND(AE56&lt;MAX(Расч!$B$11,S56*Расч!$B$12),IF(AD56&lt;Расч!$B$7,0,IF(AD56&lt;Расч!$B$8,1,IF(AD56&lt;Расч!$B$9,2,IF(AD56&lt;Расч!$B$10,3,4))))&gt;1),1,IF(AD56&lt;Расч!$B$7,0,IF(AD56&lt;Расч!$B$8,1,IF(AD56&lt;Расч!$B$9,2,IF(AD56&lt;Расч!$B$10,3,4))))))</f>
        <v>0</v>
      </c>
      <c r="AK56">
        <f>IF(AC56="","",AC56)</f>
        <v>-17.269961500887867</v>
      </c>
      <c r="AL56">
        <f>IF(AE56="","",AE56)</f>
        <v>632.14967077849951</v>
      </c>
      <c r="AM56">
        <f>IF(AF56="","",AF56)</f>
        <v>0</v>
      </c>
      <c r="AN56" t="str">
        <f>IF(AM56="","нет данных",CHOOSE(AM56+1,"Норма","Лёгкое отклонение","Заметный разброс","Выброс","Экстремальный выброс"))</f>
        <v>Норма</v>
      </c>
      <c r="AO56">
        <f>IF(OR(AC56="",NOT(ISNUMBER(N56))),0,MAX(N56,0))</f>
        <v>354</v>
      </c>
      <c r="AP56">
        <f>IF(AC56="",0,AC56*AO56)</f>
        <v>-6113.5663713143049</v>
      </c>
      <c r="AQ56">
        <f>IF(OR(AC56="",NOT(ISNUMBER(O56))),0,MAX(O56,0)*S56)</f>
        <v>257552.98024670998</v>
      </c>
      <c r="AR56">
        <f>IF(AC56="",0,AC56*AQ56)</f>
        <v>-4447930.0532996142</v>
      </c>
    </row>
    <row r="57" spans="1:44" x14ac:dyDescent="0.25">
      <c r="A57">
        <v>130901</v>
      </c>
      <c r="B57" t="s">
        <v>30</v>
      </c>
      <c r="C57" t="s">
        <v>140</v>
      </c>
      <c r="D57" t="s">
        <v>721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s="5">
        <v>1502.1308799999999</v>
      </c>
      <c r="K57" t="s">
        <v>27</v>
      </c>
      <c r="L57" s="5">
        <v>4903.0697577599994</v>
      </c>
      <c r="M57" t="s">
        <v>141</v>
      </c>
      <c r="N57" s="12">
        <v>348</v>
      </c>
      <c r="O57">
        <v>10</v>
      </c>
      <c r="P57" t="s">
        <v>57</v>
      </c>
      <c r="Q57" s="5">
        <v>2204</v>
      </c>
      <c r="R57" s="5">
        <v>2057.9193055999999</v>
      </c>
      <c r="S57" s="10">
        <v>4167.6092940959998</v>
      </c>
      <c r="T57" s="8">
        <v>0.49344299868575031</v>
      </c>
      <c r="U57" s="5">
        <v>1450328.034345408</v>
      </c>
      <c r="V57" s="5">
        <v>715654.21434540791</v>
      </c>
      <c r="W57" s="5">
        <v>0</v>
      </c>
      <c r="X57" s="5"/>
    </row>
    <row r="58" spans="1:44" x14ac:dyDescent="0.25">
      <c r="A58">
        <v>156218</v>
      </c>
      <c r="B58" t="s">
        <v>20</v>
      </c>
      <c r="C58" t="s">
        <v>142</v>
      </c>
      <c r="D58" t="s">
        <v>744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s="5">
        <v>2246.017018</v>
      </c>
      <c r="K58" t="s">
        <v>27</v>
      </c>
      <c r="L58" s="5">
        <v>7209.5506955999999</v>
      </c>
      <c r="M58" t="s">
        <v>143</v>
      </c>
      <c r="N58" s="12">
        <v>342</v>
      </c>
      <c r="O58">
        <v>12</v>
      </c>
      <c r="P58" t="s">
        <v>57</v>
      </c>
      <c r="Q58" s="5">
        <v>3211</v>
      </c>
      <c r="R58" s="5">
        <v>3077.0433146599999</v>
      </c>
      <c r="S58" s="10">
        <v>6128.1180912599993</v>
      </c>
      <c r="T58" s="8">
        <v>0.49826603302812411</v>
      </c>
      <c r="U58" s="5">
        <v>2095816.38721092</v>
      </c>
      <c r="V58" s="5">
        <v>1044274.11721092</v>
      </c>
      <c r="W58" s="5">
        <v>0</v>
      </c>
      <c r="X58" s="5"/>
    </row>
    <row r="59" spans="1:44" x14ac:dyDescent="0.25">
      <c r="A59">
        <v>170240</v>
      </c>
      <c r="B59" t="s">
        <v>20</v>
      </c>
      <c r="C59" t="s">
        <v>144</v>
      </c>
      <c r="D59" t="s">
        <v>744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s="5">
        <v>2142.1932660000002</v>
      </c>
      <c r="K59" t="s">
        <v>27</v>
      </c>
      <c r="L59" s="5">
        <v>6877.8031552799994</v>
      </c>
      <c r="M59" t="s">
        <v>145</v>
      </c>
      <c r="N59" s="12">
        <v>326</v>
      </c>
      <c r="O59">
        <v>10</v>
      </c>
      <c r="P59" t="s">
        <v>57</v>
      </c>
      <c r="Q59" s="5">
        <v>3094</v>
      </c>
      <c r="R59" s="5">
        <v>2934.8047744200012</v>
      </c>
      <c r="S59" s="10">
        <v>5846.1326819879996</v>
      </c>
      <c r="T59" s="8">
        <v>0.49859434271286401</v>
      </c>
      <c r="U59" s="5">
        <v>1905839.2543280879</v>
      </c>
      <c r="V59" s="5">
        <v>950240.67032808776</v>
      </c>
      <c r="W59" s="5">
        <v>0</v>
      </c>
      <c r="X59" s="5"/>
    </row>
    <row r="60" spans="1:44" x14ac:dyDescent="0.25">
      <c r="A60">
        <v>130915</v>
      </c>
      <c r="B60" t="s">
        <v>20</v>
      </c>
      <c r="C60" t="s">
        <v>146</v>
      </c>
      <c r="D60" t="s">
        <v>767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s="5">
        <v>1335.9024260000001</v>
      </c>
      <c r="K60" t="s">
        <v>27</v>
      </c>
      <c r="L60" s="5">
        <v>4289.1929869799997</v>
      </c>
      <c r="M60" t="s">
        <v>147</v>
      </c>
      <c r="N60" s="12">
        <v>324</v>
      </c>
      <c r="O60">
        <v>64</v>
      </c>
      <c r="P60" t="s">
        <v>57</v>
      </c>
      <c r="Q60" s="5">
        <v>1879</v>
      </c>
      <c r="R60" s="5">
        <v>1830.1863236199999</v>
      </c>
      <c r="S60" s="10">
        <v>3645.8140389330001</v>
      </c>
      <c r="T60" s="8">
        <v>0.50710720058261805</v>
      </c>
      <c r="U60" s="5">
        <v>1181243.7486142919</v>
      </c>
      <c r="V60" s="5">
        <v>599017.21056551137</v>
      </c>
      <c r="W60" s="5">
        <v>0</v>
      </c>
    </row>
    <row r="61" spans="1:44" x14ac:dyDescent="0.25">
      <c r="A61">
        <v>156217</v>
      </c>
      <c r="B61" t="s">
        <v>20</v>
      </c>
      <c r="C61" t="s">
        <v>148</v>
      </c>
      <c r="D61" t="s">
        <v>768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s="5">
        <v>1510.966944</v>
      </c>
      <c r="K61" t="s">
        <v>27</v>
      </c>
      <c r="L61" s="5">
        <v>4851.3968594999997</v>
      </c>
      <c r="M61" t="s">
        <v>149</v>
      </c>
      <c r="N61" s="12">
        <v>322</v>
      </c>
      <c r="O61">
        <v>32</v>
      </c>
      <c r="P61" t="s">
        <v>57</v>
      </c>
      <c r="Q61" s="5">
        <v>2175</v>
      </c>
      <c r="R61" s="5">
        <v>2070.02471328</v>
      </c>
      <c r="S61" s="10">
        <v>4123.6873305749996</v>
      </c>
      <c r="T61" s="8">
        <v>0.49497753945087919</v>
      </c>
      <c r="U61" s="5">
        <v>1327827.3204451499</v>
      </c>
      <c r="V61" s="5">
        <v>657244.69988959434</v>
      </c>
      <c r="W61" s="5">
        <v>0</v>
      </c>
    </row>
    <row r="62" spans="1:44" x14ac:dyDescent="0.25">
      <c r="A62">
        <v>156229</v>
      </c>
      <c r="B62" t="s">
        <v>30</v>
      </c>
      <c r="C62" t="s">
        <v>150</v>
      </c>
      <c r="D62" t="s">
        <v>769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s="5">
        <v>1167.464956</v>
      </c>
      <c r="K62" t="s">
        <v>27</v>
      </c>
      <c r="L62" s="5">
        <v>3632.4780480600002</v>
      </c>
      <c r="M62" t="s">
        <v>151</v>
      </c>
      <c r="N62" s="12">
        <v>319</v>
      </c>
      <c r="O62">
        <v>9</v>
      </c>
      <c r="P62" t="s">
        <v>57</v>
      </c>
      <c r="Q62" s="5">
        <v>1628</v>
      </c>
      <c r="R62" s="5">
        <v>1599.4269897199999</v>
      </c>
      <c r="S62" s="10">
        <v>3087.6063408509999</v>
      </c>
      <c r="T62" s="8">
        <v>0.49231899475985202</v>
      </c>
      <c r="U62" s="5">
        <v>984946.42273146892</v>
      </c>
      <c r="V62" s="5">
        <v>484907.83273146901</v>
      </c>
      <c r="W62" s="5">
        <v>0</v>
      </c>
      <c r="X62" s="5"/>
    </row>
    <row r="63" spans="1:44" x14ac:dyDescent="0.25">
      <c r="A63">
        <v>130951</v>
      </c>
      <c r="B63" t="s">
        <v>30</v>
      </c>
      <c r="C63" t="s">
        <v>152</v>
      </c>
      <c r="D63" t="s">
        <v>770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s="5">
        <v>1537.475136</v>
      </c>
      <c r="K63" t="s">
        <v>27</v>
      </c>
      <c r="L63" s="5">
        <v>4934.8473916799994</v>
      </c>
      <c r="M63" t="s">
        <v>153</v>
      </c>
      <c r="N63" s="12">
        <v>318</v>
      </c>
      <c r="O63">
        <v>12</v>
      </c>
      <c r="P63" t="s">
        <v>57</v>
      </c>
      <c r="Q63" s="5">
        <v>2258</v>
      </c>
      <c r="R63" s="5">
        <v>2106.3409363199999</v>
      </c>
      <c r="S63" s="10">
        <v>4194.6202829279991</v>
      </c>
      <c r="T63" s="8">
        <v>0.48358424508262399</v>
      </c>
      <c r="U63" s="5">
        <v>1333889.2499711041</v>
      </c>
      <c r="V63" s="5">
        <v>645047.82597110362</v>
      </c>
      <c r="W63" s="5">
        <v>4105.5</v>
      </c>
      <c r="X63" s="8">
        <f>1-(S63/W63)</f>
        <v>-2.1707534509316506E-2</v>
      </c>
      <c r="AB63">
        <f>A63</f>
        <v>130951</v>
      </c>
      <c r="AC63">
        <f>IFERROR(IF(OR(NOT(ISNUMBER(S63)),NOT(ISNUMBER(W63))),"",IF(OR(S63&lt;=0,W63&lt;=0),"",(1-S63/W63)*100)),"")</f>
        <v>-2.1707534509316506</v>
      </c>
      <c r="AD63">
        <f>IF(AC63="","",(MAX(S63,W63)/MIN(S63,W63)-1)*100)</f>
        <v>2.1707534509316506</v>
      </c>
      <c r="AE63">
        <f>IF(AC63="","",ABS(W63-S63))</f>
        <v>89.120282927999142</v>
      </c>
      <c r="AF63">
        <f>IF(AC63="","",IF(AND(AE63&lt;MAX(Расч!$B$11,S63*Расч!$B$12),IF(AD63&lt;Расч!$B$7,0,IF(AD63&lt;Расч!$B$8,1,IF(AD63&lt;Расч!$B$9,2,IF(AD63&lt;Расч!$B$10,3,4))))&gt;1),1,IF(AD63&lt;Расч!$B$7,0,IF(AD63&lt;Расч!$B$8,1,IF(AD63&lt;Расч!$B$9,2,IF(AD63&lt;Расч!$B$10,3,4))))))</f>
        <v>0</v>
      </c>
      <c r="AK63">
        <f>IF(AC63="","",AC63)</f>
        <v>-2.1707534509316506</v>
      </c>
      <c r="AL63">
        <f>IF(AE63="","",AE63)</f>
        <v>89.120282927999142</v>
      </c>
      <c r="AM63">
        <f>IF(AF63="","",AF63)</f>
        <v>0</v>
      </c>
      <c r="AN63" t="str">
        <f>IF(AM63="","нет данных",CHOOSE(AM63+1,"Норма","Лёгкое отклонение","Заметный разброс","Выброс","Экстремальный выброс"))</f>
        <v>Норма</v>
      </c>
      <c r="AO63">
        <f>IF(OR(AC63="",NOT(ISNUMBER(N63))),0,MAX(N63,0))</f>
        <v>318</v>
      </c>
      <c r="AP63">
        <f>IF(AC63="",0,AC63*AO63)</f>
        <v>-690.29959739626486</v>
      </c>
      <c r="AQ63">
        <f>IF(OR(AC63="",NOT(ISNUMBER(O63))),0,MAX(O63,0)*S63)</f>
        <v>50335.44339513599</v>
      </c>
      <c r="AR63">
        <f>IF(AC63="",0,AC63*AQ63)</f>
        <v>-109265.83745416621</v>
      </c>
    </row>
    <row r="64" spans="1:44" x14ac:dyDescent="0.25">
      <c r="A64">
        <v>170241</v>
      </c>
      <c r="B64" t="s">
        <v>20</v>
      </c>
      <c r="C64" t="s">
        <v>154</v>
      </c>
      <c r="D64" t="s">
        <v>744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s="5">
        <v>2524.9052879999999</v>
      </c>
      <c r="K64" t="s">
        <v>27</v>
      </c>
      <c r="L64" s="5">
        <v>8191.84940964</v>
      </c>
      <c r="M64" t="s">
        <v>155</v>
      </c>
      <c r="N64" s="12">
        <v>311</v>
      </c>
      <c r="O64">
        <v>6</v>
      </c>
      <c r="P64" t="s">
        <v>57</v>
      </c>
      <c r="Q64" s="5">
        <v>3541</v>
      </c>
      <c r="R64" s="5">
        <v>3459.1202445600002</v>
      </c>
      <c r="S64" s="10">
        <v>6963.0719981940001</v>
      </c>
      <c r="T64" s="8">
        <v>0.51396021743308307</v>
      </c>
      <c r="U64" s="5">
        <v>2165515.3914383338</v>
      </c>
      <c r="V64" s="5">
        <v>1112988.7614383339</v>
      </c>
      <c r="W64" s="5">
        <v>0</v>
      </c>
      <c r="X64" s="5"/>
    </row>
    <row r="65" spans="1:44" x14ac:dyDescent="0.25">
      <c r="A65">
        <v>1859642</v>
      </c>
      <c r="B65" t="s">
        <v>20</v>
      </c>
      <c r="C65" t="s">
        <v>156</v>
      </c>
      <c r="D65" t="s">
        <v>744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s="5">
        <v>2724.2689820000001</v>
      </c>
      <c r="K65" t="s">
        <v>27</v>
      </c>
      <c r="L65" s="5">
        <v>8588.1452688599984</v>
      </c>
      <c r="M65" t="s">
        <v>157</v>
      </c>
      <c r="N65" s="12">
        <v>303</v>
      </c>
      <c r="O65">
        <v>18</v>
      </c>
      <c r="P65" t="s">
        <v>57</v>
      </c>
      <c r="Q65" s="5">
        <v>3704</v>
      </c>
      <c r="R65" s="5">
        <v>3732.248505340001</v>
      </c>
      <c r="S65" s="10">
        <v>7299.9234785309982</v>
      </c>
      <c r="T65" s="8">
        <v>0.51749793879910688</v>
      </c>
      <c r="U65" s="5">
        <v>2211876.8139948919</v>
      </c>
      <c r="V65" s="5">
        <v>1144641.692119892</v>
      </c>
      <c r="W65" s="5">
        <v>0</v>
      </c>
      <c r="X65" s="5"/>
    </row>
    <row r="66" spans="1:44" x14ac:dyDescent="0.25">
      <c r="A66">
        <v>156223</v>
      </c>
      <c r="B66" t="s">
        <v>30</v>
      </c>
      <c r="C66" t="s">
        <v>158</v>
      </c>
      <c r="D66" t="s">
        <v>771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s="5">
        <v>2007.4432899999999</v>
      </c>
      <c r="K66" t="s">
        <v>27</v>
      </c>
      <c r="L66" s="5">
        <v>6442.7098184400002</v>
      </c>
      <c r="M66" t="s">
        <v>159</v>
      </c>
      <c r="N66" s="12">
        <v>298</v>
      </c>
      <c r="O66">
        <v>33</v>
      </c>
      <c r="P66" t="s">
        <v>57</v>
      </c>
      <c r="Q66" s="5">
        <v>2917</v>
      </c>
      <c r="R66" s="5">
        <v>2750.1973072999999</v>
      </c>
      <c r="S66" s="10">
        <v>5476.3033456740004</v>
      </c>
      <c r="T66" s="8">
        <v>0.48099052336489567</v>
      </c>
      <c r="U66" s="5">
        <v>1631938.3970108519</v>
      </c>
      <c r="V66" s="5">
        <v>784946.90367751871</v>
      </c>
      <c r="W66" s="5">
        <v>5398.2</v>
      </c>
      <c r="X66" s="8">
        <f>1-(S66/W66)</f>
        <v>-1.4468405334000289E-2</v>
      </c>
      <c r="AB66">
        <f>A66</f>
        <v>156223</v>
      </c>
      <c r="AC66">
        <f>IFERROR(IF(OR(NOT(ISNUMBER(S66)),NOT(ISNUMBER(W66))),"",IF(OR(S66&lt;=0,W66&lt;=0),"",(1-S66/W66)*100)),"")</f>
        <v>-1.4468405334000289</v>
      </c>
      <c r="AD66">
        <f>IF(AC66="","",(MAX(S66,W66)/MIN(S66,W66)-1)*100)</f>
        <v>1.4468405334000289</v>
      </c>
      <c r="AE66">
        <f>IF(AC66="","",ABS(W66-S66))</f>
        <v>78.103345674000593</v>
      </c>
      <c r="AF66">
        <f>IF(AC66="","",IF(AND(AE66&lt;MAX(Расч!$B$11,S66*Расч!$B$12),IF(AD66&lt;Расч!$B$7,0,IF(AD66&lt;Расч!$B$8,1,IF(AD66&lt;Расч!$B$9,2,IF(AD66&lt;Расч!$B$10,3,4))))&gt;1),1,IF(AD66&lt;Расч!$B$7,0,IF(AD66&lt;Расч!$B$8,1,IF(AD66&lt;Расч!$B$9,2,IF(AD66&lt;Расч!$B$10,3,4))))))</f>
        <v>0</v>
      </c>
      <c r="AK66">
        <f>IF(AC66="","",AC66)</f>
        <v>-1.4468405334000289</v>
      </c>
      <c r="AL66">
        <f>IF(AE66="","",AE66)</f>
        <v>78.103345674000593</v>
      </c>
      <c r="AM66">
        <f>IF(AF66="","",AF66)</f>
        <v>0</v>
      </c>
      <c r="AN66" t="str">
        <f>IF(AM66="","нет данных",CHOOSE(AM66+1,"Норма","Лёгкое отклонение","Заметный разброс","Выброс","Экстремальный выброс"))</f>
        <v>Норма</v>
      </c>
      <c r="AO66">
        <f>IF(OR(AC66="",NOT(ISNUMBER(N66))),0,MAX(N66,0))</f>
        <v>298</v>
      </c>
      <c r="AP66">
        <f>IF(AC66="",0,AC66*AO66)</f>
        <v>-431.1584789532086</v>
      </c>
      <c r="AQ66">
        <f>IF(OR(AC66="",NOT(ISNUMBER(O66))),0,MAX(O66,0)*S66)</f>
        <v>180718.01040724202</v>
      </c>
      <c r="AR66">
        <f>IF(AC66="",0,AC66*AQ66)</f>
        <v>-261470.14257260604</v>
      </c>
    </row>
    <row r="67" spans="1:44" x14ac:dyDescent="0.25">
      <c r="A67">
        <v>130929</v>
      </c>
      <c r="B67" t="s">
        <v>20</v>
      </c>
      <c r="C67" t="s">
        <v>160</v>
      </c>
      <c r="D67">
        <v>9550911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s="5">
        <v>1223.24261</v>
      </c>
      <c r="K67" t="s">
        <v>27</v>
      </c>
      <c r="L67" s="5">
        <v>3927.5854285800001</v>
      </c>
      <c r="M67" t="s">
        <v>161</v>
      </c>
      <c r="N67" s="12">
        <v>297</v>
      </c>
      <c r="O67">
        <v>4</v>
      </c>
      <c r="P67" t="s">
        <v>57</v>
      </c>
      <c r="Q67" s="5">
        <v>1718</v>
      </c>
      <c r="R67" s="5">
        <v>1675.8423757</v>
      </c>
      <c r="S67" s="10">
        <v>3338.4476142929998</v>
      </c>
      <c r="T67" s="8">
        <v>0.50433099716305174</v>
      </c>
      <c r="U67" s="5">
        <v>991518.94144502096</v>
      </c>
      <c r="V67" s="5">
        <v>500053.73644502088</v>
      </c>
      <c r="W67" s="5">
        <v>0</v>
      </c>
      <c r="X67" s="5"/>
    </row>
    <row r="68" spans="1:44" x14ac:dyDescent="0.25">
      <c r="A68">
        <v>130935</v>
      </c>
      <c r="B68" t="s">
        <v>20</v>
      </c>
      <c r="C68" t="s">
        <v>162</v>
      </c>
      <c r="D68" t="s">
        <v>772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s="5">
        <v>1582.7599640000001</v>
      </c>
      <c r="K68" t="s">
        <v>27</v>
      </c>
      <c r="L68" s="5">
        <v>5079.8328464400001</v>
      </c>
      <c r="M68" t="s">
        <v>163</v>
      </c>
      <c r="N68" s="12">
        <v>284</v>
      </c>
      <c r="O68">
        <v>4</v>
      </c>
      <c r="P68" t="s">
        <v>57</v>
      </c>
      <c r="Q68" s="5">
        <v>2259</v>
      </c>
      <c r="R68" s="5">
        <v>2168.3811506799998</v>
      </c>
      <c r="S68" s="10">
        <v>4317.8579194739996</v>
      </c>
      <c r="T68" s="8">
        <v>0.49828787628784049</v>
      </c>
      <c r="U68" s="5">
        <v>1226271.6491306161</v>
      </c>
      <c r="V68" s="5">
        <v>611036.29579728248</v>
      </c>
      <c r="W68" s="5">
        <v>0</v>
      </c>
      <c r="X68" s="5"/>
    </row>
    <row r="69" spans="1:44" x14ac:dyDescent="0.25">
      <c r="A69">
        <v>1855011</v>
      </c>
      <c r="B69" t="s">
        <v>20</v>
      </c>
      <c r="C69" t="s">
        <v>164</v>
      </c>
      <c r="D69" t="s">
        <v>744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s="5">
        <v>2128.3869159999999</v>
      </c>
      <c r="K69" t="s">
        <v>27</v>
      </c>
      <c r="L69" s="5">
        <v>6293.6151868799998</v>
      </c>
      <c r="M69" t="s">
        <v>165</v>
      </c>
      <c r="N69" s="12">
        <v>283</v>
      </c>
      <c r="O69">
        <v>6</v>
      </c>
      <c r="P69" t="s">
        <v>57</v>
      </c>
      <c r="Q69" s="5">
        <v>2955</v>
      </c>
      <c r="R69" s="5">
        <v>2915.8900749200002</v>
      </c>
      <c r="S69" s="10">
        <v>5349.5729088479993</v>
      </c>
      <c r="T69" s="8">
        <v>0.48345829712318911</v>
      </c>
      <c r="U69" s="5">
        <v>1513929.133203984</v>
      </c>
      <c r="V69" s="5">
        <v>731921.60070398368</v>
      </c>
      <c r="W69" s="5">
        <v>0</v>
      </c>
      <c r="X69" s="5"/>
    </row>
    <row r="70" spans="1:44" x14ac:dyDescent="0.25">
      <c r="A70">
        <v>170267</v>
      </c>
      <c r="B70" t="s">
        <v>30</v>
      </c>
      <c r="C70" t="s">
        <v>166</v>
      </c>
      <c r="D70" t="s">
        <v>773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s="5">
        <v>1804.7660719999999</v>
      </c>
      <c r="K70" t="s">
        <v>27</v>
      </c>
      <c r="L70" s="5">
        <v>5793.0832094999996</v>
      </c>
      <c r="M70" t="s">
        <v>167</v>
      </c>
      <c r="N70" s="12">
        <v>283</v>
      </c>
      <c r="O70">
        <v>14</v>
      </c>
      <c r="P70" t="s">
        <v>57</v>
      </c>
      <c r="Q70" s="5">
        <v>2409</v>
      </c>
      <c r="R70" s="5">
        <v>2472.5295186399999</v>
      </c>
      <c r="S70" s="10">
        <v>4924.1207280750004</v>
      </c>
      <c r="T70" s="8">
        <v>0.50753263700989715</v>
      </c>
      <c r="U70" s="5">
        <v>1393526.166045225</v>
      </c>
      <c r="V70" s="5">
        <v>707260.00979522476</v>
      </c>
      <c r="W70" s="5">
        <v>5433.1</v>
      </c>
      <c r="X70" s="8">
        <f>1-(S70/W70)</f>
        <v>9.3681189730540515E-2</v>
      </c>
      <c r="AB70">
        <f>A70</f>
        <v>170267</v>
      </c>
      <c r="AC70">
        <f>IFERROR(IF(OR(NOT(ISNUMBER(S70)),NOT(ISNUMBER(W70))),"",IF(OR(S70&lt;=0,W70&lt;=0),"",(1-S70/W70)*100)),"")</f>
        <v>9.3681189730540524</v>
      </c>
      <c r="AD70">
        <f>IF(AC70="","",(MAX(S70,W70)/MIN(S70,W70)-1)*100)</f>
        <v>10.336449896994626</v>
      </c>
      <c r="AE70">
        <f>IF(AC70="","",ABS(W70-S70))</f>
        <v>508.97927192499992</v>
      </c>
      <c r="AF70">
        <f>IF(AC70="","",IF(AND(AE70&lt;MAX(Расч!$B$11,S70*Расч!$B$12),IF(AD70&lt;Расч!$B$7,0,IF(AD70&lt;Расч!$B$8,1,IF(AD70&lt;Расч!$B$9,2,IF(AD70&lt;Расч!$B$10,3,4))))&gt;1),1,IF(AD70&lt;Расч!$B$7,0,IF(AD70&lt;Расч!$B$8,1,IF(AD70&lt;Расч!$B$9,2,IF(AD70&lt;Расч!$B$10,3,4))))))</f>
        <v>0</v>
      </c>
      <c r="AK70">
        <f>IF(AC70="","",AC70)</f>
        <v>9.3681189730540524</v>
      </c>
      <c r="AL70">
        <f>IF(AE70="","",AE70)</f>
        <v>508.97927192499992</v>
      </c>
      <c r="AM70">
        <f>IF(AF70="","",AF70)</f>
        <v>0</v>
      </c>
      <c r="AN70" t="str">
        <f>IF(AM70="","нет данных",CHOOSE(AM70+1,"Норма","Лёгкое отклонение","Заметный разброс","Выброс","Экстремальный выброс"))</f>
        <v>Норма</v>
      </c>
      <c r="AO70">
        <f>IF(OR(AC70="",NOT(ISNUMBER(N70))),0,MAX(N70,0))</f>
        <v>283</v>
      </c>
      <c r="AP70">
        <f>IF(AC70="",0,AC70*AO70)</f>
        <v>2651.1776693742968</v>
      </c>
      <c r="AQ70">
        <f>IF(OR(AC70="",NOT(ISNUMBER(O70))),0,MAX(O70,0)*S70)</f>
        <v>68937.690193050003</v>
      </c>
      <c r="AR70">
        <f>IF(AC70="",0,AC70*AQ70)</f>
        <v>645816.48345603398</v>
      </c>
    </row>
    <row r="71" spans="1:44" x14ac:dyDescent="0.25">
      <c r="A71">
        <v>130897</v>
      </c>
      <c r="B71" t="s">
        <v>30</v>
      </c>
      <c r="C71" t="s">
        <v>168</v>
      </c>
      <c r="D71" t="s">
        <v>774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s="5">
        <v>1388.3665559999999</v>
      </c>
      <c r="K71" t="s">
        <v>27</v>
      </c>
      <c r="L71" s="5">
        <v>4456.0426866300004</v>
      </c>
      <c r="M71" t="s">
        <v>169</v>
      </c>
      <c r="N71" s="12">
        <v>274</v>
      </c>
      <c r="O71">
        <v>11</v>
      </c>
      <c r="P71" t="s">
        <v>57</v>
      </c>
      <c r="Q71" s="5">
        <v>1884</v>
      </c>
      <c r="R71" s="5">
        <v>1902.0621817199999</v>
      </c>
      <c r="S71" s="10">
        <v>3787.6362836355001</v>
      </c>
      <c r="T71" s="8">
        <v>0.51934297179860911</v>
      </c>
      <c r="U71" s="5">
        <v>1037812.341716127</v>
      </c>
      <c r="V71" s="5">
        <v>538980.54571612703</v>
      </c>
      <c r="W71" s="5">
        <v>0</v>
      </c>
    </row>
    <row r="72" spans="1:44" x14ac:dyDescent="0.25">
      <c r="A72">
        <v>130905</v>
      </c>
      <c r="B72" t="s">
        <v>20</v>
      </c>
      <c r="C72" t="s">
        <v>170</v>
      </c>
      <c r="D72" t="s">
        <v>775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s="5">
        <v>1300.55817</v>
      </c>
      <c r="K72" t="s">
        <v>27</v>
      </c>
      <c r="L72" s="5">
        <v>4476.4173549299994</v>
      </c>
      <c r="M72" t="s">
        <v>171</v>
      </c>
      <c r="N72" s="12">
        <v>272</v>
      </c>
      <c r="O72">
        <v>12</v>
      </c>
      <c r="P72" t="s">
        <v>57</v>
      </c>
      <c r="Q72" s="5">
        <v>1869</v>
      </c>
      <c r="R72" s="5">
        <v>1781.7646929</v>
      </c>
      <c r="S72" s="10">
        <v>3804.9547516905</v>
      </c>
      <c r="T72" s="8">
        <v>0.52988419265557107</v>
      </c>
      <c r="U72" s="5">
        <v>1034947.692459816</v>
      </c>
      <c r="V72" s="5">
        <v>548402.42245981575</v>
      </c>
      <c r="W72" s="5">
        <v>0</v>
      </c>
      <c r="X72" s="5"/>
    </row>
    <row r="73" spans="1:44" x14ac:dyDescent="0.25">
      <c r="A73">
        <v>1752065</v>
      </c>
      <c r="B73" t="s">
        <v>30</v>
      </c>
      <c r="C73" t="s">
        <v>172</v>
      </c>
      <c r="D73" t="s">
        <v>744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 s="5">
        <v>1438.069416</v>
      </c>
      <c r="K73" t="s">
        <v>27</v>
      </c>
      <c r="L73" s="5">
        <v>4616.9854446299996</v>
      </c>
      <c r="M73" t="s">
        <v>173</v>
      </c>
      <c r="N73" s="12">
        <v>270</v>
      </c>
      <c r="O73">
        <v>12</v>
      </c>
      <c r="P73" t="s">
        <v>57</v>
      </c>
      <c r="Q73" s="5">
        <v>2061</v>
      </c>
      <c r="R73" s="5">
        <v>1970.1550999200001</v>
      </c>
      <c r="S73" s="10">
        <v>3924.4376279355001</v>
      </c>
      <c r="T73" s="8">
        <v>0.47440749591296572</v>
      </c>
      <c r="U73" s="5">
        <v>1059598.159542585</v>
      </c>
      <c r="V73" s="5">
        <v>502681.30954258487</v>
      </c>
      <c r="W73" s="5">
        <v>0</v>
      </c>
      <c r="X73" s="5"/>
    </row>
    <row r="74" spans="1:44" x14ac:dyDescent="0.25">
      <c r="A74">
        <v>130877</v>
      </c>
      <c r="B74" t="s">
        <v>20</v>
      </c>
      <c r="C74" t="s">
        <v>174</v>
      </c>
      <c r="D74" t="s">
        <v>744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s="5">
        <v>1300.55817</v>
      </c>
      <c r="K74" t="s">
        <v>27</v>
      </c>
      <c r="L74" s="5">
        <v>4175.9338014299992</v>
      </c>
      <c r="M74" t="s">
        <v>175</v>
      </c>
      <c r="N74" s="12">
        <v>266</v>
      </c>
      <c r="O74">
        <v>17</v>
      </c>
      <c r="P74" t="s">
        <v>57</v>
      </c>
      <c r="Q74" s="5">
        <v>1781</v>
      </c>
      <c r="R74" s="5">
        <v>1781.7646929</v>
      </c>
      <c r="S74" s="10">
        <v>3549.5437312154991</v>
      </c>
      <c r="T74" s="8">
        <v>0.51858643976663243</v>
      </c>
      <c r="U74" s="5">
        <v>944178.63250332279</v>
      </c>
      <c r="V74" s="5">
        <v>489638.23553362582</v>
      </c>
      <c r="W74" s="5">
        <v>0</v>
      </c>
      <c r="X74" s="5"/>
    </row>
    <row r="75" spans="1:44" x14ac:dyDescent="0.25">
      <c r="A75">
        <v>170248</v>
      </c>
      <c r="B75" t="s">
        <v>20</v>
      </c>
      <c r="C75" t="s">
        <v>176</v>
      </c>
      <c r="D75" t="s">
        <v>728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s="5">
        <v>1989.771162</v>
      </c>
      <c r="K75" t="s">
        <v>27</v>
      </c>
      <c r="L75" s="5">
        <v>6856.0587613799999</v>
      </c>
      <c r="M75" t="s">
        <v>177</v>
      </c>
      <c r="N75" s="12">
        <v>264</v>
      </c>
      <c r="O75">
        <v>10</v>
      </c>
      <c r="P75" t="s">
        <v>57</v>
      </c>
      <c r="Q75" s="5">
        <v>2820</v>
      </c>
      <c r="R75" s="5">
        <v>2725.9864919400002</v>
      </c>
      <c r="S75" s="10">
        <v>5827.6499471729994</v>
      </c>
      <c r="T75" s="8">
        <v>0.5322322863159652</v>
      </c>
      <c r="U75" s="5">
        <v>1538499.586053672</v>
      </c>
      <c r="V75" s="5">
        <v>818839.15218151174</v>
      </c>
      <c r="W75" s="5">
        <v>0</v>
      </c>
      <c r="X75" s="5"/>
    </row>
    <row r="76" spans="1:44" x14ac:dyDescent="0.25">
      <c r="A76">
        <v>130907</v>
      </c>
      <c r="B76" t="s">
        <v>20</v>
      </c>
      <c r="C76" t="s">
        <v>178</v>
      </c>
      <c r="D76" t="s">
        <v>742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s="5">
        <v>1863.85725</v>
      </c>
      <c r="K76" t="s">
        <v>27</v>
      </c>
      <c r="L76" s="5">
        <v>5983.7661345899996</v>
      </c>
      <c r="M76" t="s">
        <v>179</v>
      </c>
      <c r="N76" s="12">
        <v>263</v>
      </c>
      <c r="O76">
        <v>55</v>
      </c>
      <c r="P76" t="s">
        <v>57</v>
      </c>
      <c r="Q76" s="5">
        <v>2620</v>
      </c>
      <c r="R76" s="5">
        <v>2553.4844324999999</v>
      </c>
      <c r="S76" s="10">
        <v>5086.2012144014998</v>
      </c>
      <c r="T76" s="8">
        <v>0.49297689838742093</v>
      </c>
      <c r="U76" s="5">
        <v>1337670.9193875941</v>
      </c>
      <c r="V76" s="5">
        <v>659440.86090274598</v>
      </c>
      <c r="W76" s="5">
        <v>0</v>
      </c>
      <c r="X76" s="5"/>
    </row>
    <row r="77" spans="1:44" x14ac:dyDescent="0.25">
      <c r="A77">
        <v>1774893</v>
      </c>
      <c r="B77" t="s">
        <v>20</v>
      </c>
      <c r="C77" t="s">
        <v>180</v>
      </c>
      <c r="D77" t="s">
        <v>744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s="5">
        <v>1614.2384420000001</v>
      </c>
      <c r="K77" t="s">
        <v>27</v>
      </c>
      <c r="L77" s="5">
        <v>5183.1443998200002</v>
      </c>
      <c r="M77" t="s">
        <v>181</v>
      </c>
      <c r="N77" s="12">
        <v>262</v>
      </c>
      <c r="O77">
        <v>30</v>
      </c>
      <c r="P77" t="s">
        <v>57</v>
      </c>
      <c r="Q77" s="5">
        <v>2291</v>
      </c>
      <c r="R77" s="5">
        <v>2211.5066655400001</v>
      </c>
      <c r="S77" s="10">
        <v>4405.6727398470002</v>
      </c>
      <c r="T77" s="8">
        <v>0.50273337822271347</v>
      </c>
      <c r="U77" s="5">
        <v>1154286.2578399139</v>
      </c>
      <c r="V77" s="5">
        <v>580298.22983991401</v>
      </c>
      <c r="W77" s="5">
        <v>0</v>
      </c>
      <c r="X77" s="5"/>
    </row>
    <row r="78" spans="1:44" x14ac:dyDescent="0.25">
      <c r="A78">
        <v>130912</v>
      </c>
      <c r="B78" t="s">
        <v>20</v>
      </c>
      <c r="C78" t="s">
        <v>182</v>
      </c>
      <c r="D78">
        <v>9584410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s="5">
        <v>1423.710812</v>
      </c>
      <c r="K78" t="s">
        <v>27</v>
      </c>
      <c r="L78" s="5">
        <v>4571.2879743000003</v>
      </c>
      <c r="M78" t="s">
        <v>183</v>
      </c>
      <c r="N78" s="12">
        <v>259</v>
      </c>
      <c r="O78">
        <v>16</v>
      </c>
      <c r="P78" t="s">
        <v>57</v>
      </c>
      <c r="Q78" s="5">
        <v>2130</v>
      </c>
      <c r="R78" s="5">
        <v>1950.4838124400001</v>
      </c>
      <c r="S78" s="10">
        <v>3885.5947781549999</v>
      </c>
      <c r="T78" s="8">
        <v>0.4759688676167656</v>
      </c>
      <c r="U78" s="5">
        <v>1006369.047542145</v>
      </c>
      <c r="V78" s="5">
        <v>479000.33596319781</v>
      </c>
      <c r="W78" s="5">
        <v>3943.64</v>
      </c>
      <c r="X78" s="8">
        <f>1-(S78/W78)</f>
        <v>1.4718691829122332E-2</v>
      </c>
      <c r="AB78">
        <f>A78</f>
        <v>130912</v>
      </c>
      <c r="AC78">
        <f>IFERROR(IF(OR(NOT(ISNUMBER(S78)),NOT(ISNUMBER(W78))),"",IF(OR(S78&lt;=0,W78&lt;=0),"",(1-S78/W78)*100)),"")</f>
        <v>1.4718691829122332</v>
      </c>
      <c r="AD78">
        <f>IF(AC78="","",(MAX(S78,W78)/MIN(S78,W78)-1)*100)</f>
        <v>1.493856800800053</v>
      </c>
      <c r="AE78">
        <f>IF(AC78="","",ABS(W78-S78))</f>
        <v>58.045221845000015</v>
      </c>
      <c r="AF78">
        <f>IF(AC78="","",IF(AND(AE78&lt;MAX(Расч!$B$11,S78*Расч!$B$12),IF(AD78&lt;Расч!$B$7,0,IF(AD78&lt;Расч!$B$8,1,IF(AD78&lt;Расч!$B$9,2,IF(AD78&lt;Расч!$B$10,3,4))))&gt;1),1,IF(AD78&lt;Расч!$B$7,0,IF(AD78&lt;Расч!$B$8,1,IF(AD78&lt;Расч!$B$9,2,IF(AD78&lt;Расч!$B$10,3,4))))))</f>
        <v>0</v>
      </c>
      <c r="AK78">
        <f>IF(AC78="","",AC78)</f>
        <v>1.4718691829122332</v>
      </c>
      <c r="AL78">
        <f>IF(AE78="","",AE78)</f>
        <v>58.045221845000015</v>
      </c>
      <c r="AM78">
        <f>IF(AF78="","",AF78)</f>
        <v>0</v>
      </c>
      <c r="AN78" t="str">
        <f>IF(AM78="","нет данных",CHOOSE(AM78+1,"Норма","Лёгкое отклонение","Заметный разброс","Выброс","Экстремальный выброс"))</f>
        <v>Норма</v>
      </c>
      <c r="AO78">
        <f>IF(OR(AC78="",NOT(ISNUMBER(N78))),0,MAX(N78,0))</f>
        <v>259</v>
      </c>
      <c r="AP78">
        <f>IF(AC78="",0,AC78*AO78)</f>
        <v>381.21411837426842</v>
      </c>
      <c r="AQ78">
        <f>IF(OR(AC78="",NOT(ISNUMBER(O78))),0,MAX(O78,0)*S78)</f>
        <v>62169.516450479998</v>
      </c>
      <c r="AR78">
        <f>IF(AC78="",0,AC78*AQ78)</f>
        <v>91505.395380016635</v>
      </c>
    </row>
    <row r="79" spans="1:44" x14ac:dyDescent="0.25">
      <c r="A79">
        <v>170261</v>
      </c>
      <c r="B79" t="s">
        <v>30</v>
      </c>
      <c r="C79" t="s">
        <v>184</v>
      </c>
      <c r="D79" t="s">
        <v>744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s="5">
        <v>1694.867526</v>
      </c>
      <c r="K79" t="s">
        <v>27</v>
      </c>
      <c r="L79" s="5">
        <v>5441.4404048399992</v>
      </c>
      <c r="M79" t="s">
        <v>185</v>
      </c>
      <c r="N79" s="12">
        <v>255</v>
      </c>
      <c r="O79">
        <v>9</v>
      </c>
      <c r="P79" t="s">
        <v>57</v>
      </c>
      <c r="Q79" s="5">
        <v>2348</v>
      </c>
      <c r="R79" s="5">
        <v>2321.96851062</v>
      </c>
      <c r="S79" s="10">
        <v>4625.224344113999</v>
      </c>
      <c r="T79" s="8">
        <v>0.52172386032267215</v>
      </c>
      <c r="U79" s="5">
        <v>1179432.2077490699</v>
      </c>
      <c r="V79" s="5">
        <v>615337.92441573646</v>
      </c>
      <c r="W79" s="5">
        <v>0</v>
      </c>
      <c r="X79" s="5"/>
    </row>
    <row r="80" spans="1:44" x14ac:dyDescent="0.25">
      <c r="A80">
        <v>1752059</v>
      </c>
      <c r="B80" t="s">
        <v>20</v>
      </c>
      <c r="C80" t="s">
        <v>186</v>
      </c>
      <c r="D80" t="s">
        <v>744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s="5">
        <v>2098.5652</v>
      </c>
      <c r="K80" t="s">
        <v>27</v>
      </c>
      <c r="L80" s="5">
        <v>6736.7042969100003</v>
      </c>
      <c r="M80" t="s">
        <v>187</v>
      </c>
      <c r="N80" s="12">
        <v>252</v>
      </c>
      <c r="O80">
        <v>20</v>
      </c>
      <c r="P80" t="s">
        <v>57</v>
      </c>
      <c r="Q80" s="5">
        <v>2922</v>
      </c>
      <c r="R80" s="5">
        <v>2875.0343240000002</v>
      </c>
      <c r="S80" s="10">
        <v>5726.1986523735004</v>
      </c>
      <c r="T80" s="8">
        <v>0.49840563096610951</v>
      </c>
      <c r="U80" s="5">
        <v>1443002.0603981221</v>
      </c>
      <c r="V80" s="5">
        <v>719200.35239812196</v>
      </c>
      <c r="W80" s="5">
        <v>5021.33</v>
      </c>
      <c r="X80" s="8">
        <f>1-(S80/W80)</f>
        <v>-0.14037489118888824</v>
      </c>
      <c r="AB80">
        <f>A80</f>
        <v>1752059</v>
      </c>
      <c r="AC80">
        <f>IFERROR(IF(OR(NOT(ISNUMBER(S80)),NOT(ISNUMBER(W80))),"",IF(OR(S80&lt;=0,W80&lt;=0),"",(1-S80/W80)*100)),"")</f>
        <v>-14.037489118888825</v>
      </c>
      <c r="AD80">
        <f>IF(AC80="","",(MAX(S80,W80)/MIN(S80,W80)-1)*100)</f>
        <v>14.037489118888825</v>
      </c>
      <c r="AE80">
        <f>IF(AC80="","",ABS(W80-S80))</f>
        <v>704.86865237350048</v>
      </c>
      <c r="AF80">
        <f>IF(AC80="","",IF(AND(AE80&lt;MAX(Расч!$B$11,S80*Расч!$B$12),IF(AD80&lt;Расч!$B$7,0,IF(AD80&lt;Расч!$B$8,1,IF(AD80&lt;Расч!$B$9,2,IF(AD80&lt;Расч!$B$10,3,4))))&gt;1),1,IF(AD80&lt;Расч!$B$7,0,IF(AD80&lt;Расч!$B$8,1,IF(AD80&lt;Расч!$B$9,2,IF(AD80&lt;Расч!$B$10,3,4))))))</f>
        <v>0</v>
      </c>
      <c r="AK80">
        <f>IF(AC80="","",AC80)</f>
        <v>-14.037489118888825</v>
      </c>
      <c r="AL80">
        <f>IF(AE80="","",AE80)</f>
        <v>704.86865237350048</v>
      </c>
      <c r="AM80">
        <f>IF(AF80="","",AF80)</f>
        <v>0</v>
      </c>
      <c r="AN80" t="str">
        <f>IF(AM80="","нет данных",CHOOSE(AM80+1,"Норма","Лёгкое отклонение","Заметный разброс","Выброс","Экстремальный выброс"))</f>
        <v>Норма</v>
      </c>
      <c r="AO80">
        <f>IF(OR(AC80="",NOT(ISNUMBER(N80))),0,MAX(N80,0))</f>
        <v>252</v>
      </c>
      <c r="AP80">
        <f>IF(AC80="",0,AC80*AO80)</f>
        <v>-3537.4472579599837</v>
      </c>
      <c r="AQ80">
        <f>IF(OR(AC80="",NOT(ISNUMBER(O80))),0,MAX(O80,0)*S80)</f>
        <v>114523.97304747</v>
      </c>
      <c r="AR80">
        <f>IF(AC80="",0,AC80*AQ80)</f>
        <v>-1607629.0255057772</v>
      </c>
    </row>
    <row r="81" spans="1:44" x14ac:dyDescent="0.25">
      <c r="A81">
        <v>1859643</v>
      </c>
      <c r="B81" t="s">
        <v>30</v>
      </c>
      <c r="C81" t="s">
        <v>188</v>
      </c>
      <c r="D81" t="s">
        <v>744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s="5">
        <v>1921.84392</v>
      </c>
      <c r="K81" t="s">
        <v>27</v>
      </c>
      <c r="L81" s="5">
        <v>6058.5189092099999</v>
      </c>
      <c r="M81" t="s">
        <v>189</v>
      </c>
      <c r="N81" s="12">
        <v>251</v>
      </c>
      <c r="O81">
        <v>4</v>
      </c>
      <c r="P81" t="s">
        <v>57</v>
      </c>
      <c r="Q81" s="5">
        <v>2607</v>
      </c>
      <c r="R81" s="5">
        <v>2632.9261704</v>
      </c>
      <c r="S81" s="10">
        <v>5149.7410728284985</v>
      </c>
      <c r="T81" s="8">
        <v>0.51659511326990093</v>
      </c>
      <c r="U81" s="5">
        <v>1292585.0092799531</v>
      </c>
      <c r="V81" s="5">
        <v>667743.0992799534</v>
      </c>
      <c r="W81" s="5">
        <v>0</v>
      </c>
    </row>
    <row r="82" spans="1:44" x14ac:dyDescent="0.25">
      <c r="A82">
        <v>170257</v>
      </c>
      <c r="B82" t="s">
        <v>20</v>
      </c>
      <c r="C82" t="s">
        <v>190</v>
      </c>
      <c r="D82" t="s">
        <v>744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s="5">
        <v>1298.349154</v>
      </c>
      <c r="K82" t="s">
        <v>27</v>
      </c>
      <c r="L82" s="5">
        <v>5701.05477075</v>
      </c>
      <c r="M82" t="s">
        <v>191</v>
      </c>
      <c r="N82" s="12">
        <v>248</v>
      </c>
      <c r="O82">
        <v>20</v>
      </c>
      <c r="P82" t="s">
        <v>57</v>
      </c>
      <c r="Q82" s="5">
        <v>1926</v>
      </c>
      <c r="R82" s="5">
        <v>1778.73834098</v>
      </c>
      <c r="S82" s="10">
        <v>4845.8965551374986</v>
      </c>
      <c r="T82" s="8">
        <v>0.62050664213912932</v>
      </c>
      <c r="U82" s="5">
        <v>1201782.3456741001</v>
      </c>
      <c r="V82" s="5">
        <v>745713.9278963221</v>
      </c>
      <c r="W82" s="5">
        <v>0</v>
      </c>
      <c r="X82" s="5"/>
    </row>
    <row r="83" spans="1:44" x14ac:dyDescent="0.25">
      <c r="A83">
        <v>170254</v>
      </c>
      <c r="B83" t="s">
        <v>20</v>
      </c>
      <c r="C83" t="s">
        <v>192</v>
      </c>
      <c r="D83">
        <v>9573614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s="5">
        <v>1101.1944759999999</v>
      </c>
      <c r="K83" t="s">
        <v>27</v>
      </c>
      <c r="L83" s="5">
        <v>3534.2344794000001</v>
      </c>
      <c r="M83" t="s">
        <v>193</v>
      </c>
      <c r="N83" s="12">
        <v>242</v>
      </c>
      <c r="O83">
        <v>20</v>
      </c>
      <c r="P83" t="s">
        <v>57</v>
      </c>
      <c r="Q83" s="5">
        <v>1613</v>
      </c>
      <c r="R83" s="5">
        <v>1508.6364321200001</v>
      </c>
      <c r="S83" s="10">
        <v>3004.0993074899998</v>
      </c>
      <c r="T83" s="8">
        <v>0.48548190211797559</v>
      </c>
      <c r="U83" s="5">
        <v>726992.03241257998</v>
      </c>
      <c r="V83" s="5">
        <v>352941.47472027229</v>
      </c>
      <c r="W83" s="5">
        <v>0</v>
      </c>
      <c r="X83" s="5"/>
    </row>
    <row r="84" spans="1:44" x14ac:dyDescent="0.25">
      <c r="A84">
        <v>1752068</v>
      </c>
      <c r="B84" t="s">
        <v>30</v>
      </c>
      <c r="C84" t="s">
        <v>194</v>
      </c>
      <c r="D84" t="s">
        <v>744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s="5">
        <v>2156.5518699999998</v>
      </c>
      <c r="K84" t="s">
        <v>27</v>
      </c>
      <c r="L84" s="5">
        <v>6923.4835040399994</v>
      </c>
      <c r="M84" t="s">
        <v>195</v>
      </c>
      <c r="N84" s="12">
        <v>240</v>
      </c>
      <c r="O84">
        <v>10</v>
      </c>
      <c r="P84" t="s">
        <v>57</v>
      </c>
      <c r="Q84" s="5">
        <v>2960</v>
      </c>
      <c r="R84" s="5">
        <v>2954.4760618999999</v>
      </c>
      <c r="S84" s="10">
        <v>5884.9609784339991</v>
      </c>
      <c r="T84" s="8">
        <v>0.52179093846505964</v>
      </c>
      <c r="U84" s="5">
        <v>1412390.63482416</v>
      </c>
      <c r="V84" s="5">
        <v>736972.63482415967</v>
      </c>
      <c r="W84" s="5">
        <v>0</v>
      </c>
      <c r="X84" s="5"/>
    </row>
    <row r="85" spans="1:44" x14ac:dyDescent="0.25">
      <c r="A85">
        <v>1859640</v>
      </c>
      <c r="B85" t="s">
        <v>20</v>
      </c>
      <c r="C85" t="s">
        <v>196</v>
      </c>
      <c r="D85" t="s">
        <v>744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s="5">
        <v>1744.0181319999999</v>
      </c>
      <c r="K85" t="s">
        <v>27</v>
      </c>
      <c r="L85" s="5">
        <v>5497.9244642699996</v>
      </c>
      <c r="M85" t="s">
        <v>197</v>
      </c>
      <c r="N85" s="12">
        <v>236</v>
      </c>
      <c r="O85">
        <v>12</v>
      </c>
      <c r="P85" t="s">
        <v>57</v>
      </c>
      <c r="Q85" s="5">
        <v>2415</v>
      </c>
      <c r="R85" s="5">
        <v>2389.30484084</v>
      </c>
      <c r="S85" s="10">
        <v>4673.2357946294997</v>
      </c>
      <c r="T85" s="8">
        <v>0.49449217275916141</v>
      </c>
      <c r="U85" s="5">
        <v>1102883.647532562</v>
      </c>
      <c r="V85" s="5">
        <v>545367.33116892562</v>
      </c>
      <c r="W85" s="5">
        <v>0</v>
      </c>
      <c r="X85" s="5"/>
    </row>
    <row r="86" spans="1:44" x14ac:dyDescent="0.25">
      <c r="A86">
        <v>130882</v>
      </c>
      <c r="B86" t="s">
        <v>20</v>
      </c>
      <c r="C86" t="s">
        <v>198</v>
      </c>
      <c r="D86" t="s">
        <v>744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s="5">
        <v>1836.7968040000001</v>
      </c>
      <c r="K86" t="s">
        <v>27</v>
      </c>
      <c r="L86" s="5">
        <v>7751.6538449400005</v>
      </c>
      <c r="M86" t="s">
        <v>199</v>
      </c>
      <c r="N86" s="12">
        <v>234</v>
      </c>
      <c r="O86">
        <v>29</v>
      </c>
      <c r="P86" t="s">
        <v>57</v>
      </c>
      <c r="Q86" s="5">
        <v>2684</v>
      </c>
      <c r="R86" s="5">
        <v>2516.4116214800001</v>
      </c>
      <c r="S86" s="10">
        <v>6588.9057681989998</v>
      </c>
      <c r="T86" s="8">
        <v>0.6114063568932202</v>
      </c>
      <c r="U86" s="5">
        <v>1541803.949758566</v>
      </c>
      <c r="V86" s="5">
        <v>942668.7359654624</v>
      </c>
      <c r="W86" s="5">
        <v>0</v>
      </c>
      <c r="X86" s="5"/>
    </row>
    <row r="87" spans="1:44" x14ac:dyDescent="0.25">
      <c r="A87">
        <v>156210</v>
      </c>
      <c r="B87" t="s">
        <v>20</v>
      </c>
      <c r="C87" t="s">
        <v>200</v>
      </c>
      <c r="D87" t="s">
        <v>776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s="5">
        <v>2839.6900679999999</v>
      </c>
      <c r="K87" t="s">
        <v>27</v>
      </c>
      <c r="L87" s="5">
        <v>9866.2019830799982</v>
      </c>
      <c r="M87" t="s">
        <v>201</v>
      </c>
      <c r="N87" s="12">
        <v>233</v>
      </c>
      <c r="O87">
        <v>11</v>
      </c>
      <c r="P87" t="s">
        <v>57</v>
      </c>
      <c r="Q87" s="5">
        <v>4309</v>
      </c>
      <c r="R87" s="5">
        <v>3890.3753931600008</v>
      </c>
      <c r="S87" s="10">
        <v>8386.2716856179977</v>
      </c>
      <c r="T87" s="8">
        <v>0.50877495732323275</v>
      </c>
      <c r="U87" s="5">
        <v>1954001.302748994</v>
      </c>
      <c r="V87" s="5">
        <v>994146.92941566033</v>
      </c>
      <c r="W87" s="5">
        <v>10538.75</v>
      </c>
      <c r="X87" s="8">
        <f>1-(S87/W87)</f>
        <v>0.20424417643287884</v>
      </c>
      <c r="AB87">
        <f>A87</f>
        <v>156210</v>
      </c>
      <c r="AC87">
        <f>IFERROR(IF(OR(NOT(ISNUMBER(S87)),NOT(ISNUMBER(W87))),"",IF(OR(S87&lt;=0,W87&lt;=0),"",(1-S87/W87)*100)),"")</f>
        <v>20.424417643287885</v>
      </c>
      <c r="AD87">
        <f>IF(AC87="","",(MAX(S87,W87)/MIN(S87,W87)-1)*100)</f>
        <v>25.666689502480409</v>
      </c>
      <c r="AE87">
        <f>IF(AC87="","",ABS(W87-S87))</f>
        <v>2152.4783143820023</v>
      </c>
      <c r="AF87">
        <f>IF(AC87="","",IF(AND(AE87&lt;MAX(Расч!$B$11,S87*Расч!$B$12),IF(AD87&lt;Расч!$B$7,0,IF(AD87&lt;Расч!$B$8,1,IF(AD87&lt;Расч!$B$9,2,IF(AD87&lt;Расч!$B$10,3,4))))&gt;1),1,IF(AD87&lt;Расч!$B$7,0,IF(AD87&lt;Расч!$B$8,1,IF(AD87&lt;Расч!$B$9,2,IF(AD87&lt;Расч!$B$10,3,4))))))</f>
        <v>0</v>
      </c>
      <c r="AK87">
        <f t="shared" ref="AK87:AK88" si="24">IF(AC87="","",AC87)</f>
        <v>20.424417643287885</v>
      </c>
      <c r="AL87">
        <f t="shared" ref="AL87:AL88" si="25">IF(AE87="","",AE87)</f>
        <v>2152.4783143820023</v>
      </c>
      <c r="AM87">
        <f t="shared" ref="AM87:AM88" si="26">IF(AF87="","",AF87)</f>
        <v>0</v>
      </c>
      <c r="AN87" t="str">
        <f t="shared" ref="AN87:AN88" si="27">IF(AM87="","нет данных",CHOOSE(AM87+1,"Норма","Лёгкое отклонение","Заметный разброс","Выброс","Экстремальный выброс"))</f>
        <v>Норма</v>
      </c>
      <c r="AO87">
        <f>IF(OR(AC87="",NOT(ISNUMBER(N87))),0,MAX(N87,0))</f>
        <v>233</v>
      </c>
      <c r="AP87">
        <f t="shared" ref="AP87:AP88" si="28">IF(AC87="",0,AC87*AO87)</f>
        <v>4758.8893108860775</v>
      </c>
      <c r="AQ87">
        <f>IF(OR(AC87="",NOT(ISNUMBER(O87))),0,MAX(O87,0)*S87)</f>
        <v>92248.988541797968</v>
      </c>
      <c r="AR87">
        <f t="shared" ref="AR87:AR88" si="29">IF(AC87="",0,AC87*AQ87)</f>
        <v>1884131.8691485603</v>
      </c>
    </row>
    <row r="88" spans="1:44" x14ac:dyDescent="0.25">
      <c r="A88">
        <v>130922</v>
      </c>
      <c r="B88" t="s">
        <v>20</v>
      </c>
      <c r="C88" t="s">
        <v>202</v>
      </c>
      <c r="D88">
        <v>9884011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s="5">
        <v>1723.0324800000001</v>
      </c>
      <c r="K88" t="s">
        <v>27</v>
      </c>
      <c r="L88" s="5">
        <v>5530.8150002399998</v>
      </c>
      <c r="M88" t="s">
        <v>203</v>
      </c>
      <c r="N88" s="12">
        <v>228</v>
      </c>
      <c r="O88">
        <v>3</v>
      </c>
      <c r="P88" t="s">
        <v>204</v>
      </c>
      <c r="Q88" s="5">
        <v>2572</v>
      </c>
      <c r="R88" s="5">
        <v>2360.5544976000001</v>
      </c>
      <c r="S88" s="10">
        <v>4701.1927502039998</v>
      </c>
      <c r="T88" s="8">
        <v>0.4764681185200319</v>
      </c>
      <c r="U88" s="5">
        <v>1071871.947046512</v>
      </c>
      <c r="V88" s="5">
        <v>510712.80990365491</v>
      </c>
      <c r="W88" s="5">
        <v>4192.6000000000004</v>
      </c>
      <c r="X88" s="8">
        <f>1-(S88/W88)</f>
        <v>-0.12130724376377411</v>
      </c>
      <c r="AB88">
        <f>A88</f>
        <v>130922</v>
      </c>
      <c r="AC88">
        <f>IFERROR(IF(OR(NOT(ISNUMBER(S88)),NOT(ISNUMBER(W88))),"",IF(OR(S88&lt;=0,W88&lt;=0),"",(1-S88/W88)*100)),"")</f>
        <v>-12.130724376377412</v>
      </c>
      <c r="AD88">
        <f>IF(AC88="","",(MAX(S88,W88)/MIN(S88,W88)-1)*100)</f>
        <v>12.130724376377412</v>
      </c>
      <c r="AE88">
        <f>IF(AC88="","",ABS(W88-S88))</f>
        <v>508.59275020399946</v>
      </c>
      <c r="AF88">
        <f>IF(AC88="","",IF(AND(AE88&lt;MAX(Расч!$B$11,S88*Расч!$B$12),IF(AD88&lt;Расч!$B$7,0,IF(AD88&lt;Расч!$B$8,1,IF(AD88&lt;Расч!$B$9,2,IF(AD88&lt;Расч!$B$10,3,4))))&gt;1),1,IF(AD88&lt;Расч!$B$7,0,IF(AD88&lt;Расч!$B$8,1,IF(AD88&lt;Расч!$B$9,2,IF(AD88&lt;Расч!$B$10,3,4))))))</f>
        <v>0</v>
      </c>
      <c r="AK88">
        <f t="shared" si="24"/>
        <v>-12.130724376377412</v>
      </c>
      <c r="AL88">
        <f t="shared" si="25"/>
        <v>508.59275020399946</v>
      </c>
      <c r="AM88">
        <f t="shared" si="26"/>
        <v>0</v>
      </c>
      <c r="AN88" t="str">
        <f t="shared" si="27"/>
        <v>Норма</v>
      </c>
      <c r="AO88">
        <f>IF(OR(AC88="",NOT(ISNUMBER(N88))),0,MAX(N88,0))</f>
        <v>228</v>
      </c>
      <c r="AP88">
        <f t="shared" si="28"/>
        <v>-2765.8051578140498</v>
      </c>
      <c r="AQ88">
        <f>IF(OR(AC88="",NOT(ISNUMBER(O88))),0,MAX(O88,0)*S88)</f>
        <v>14103.578250611999</v>
      </c>
      <c r="AR88">
        <f t="shared" si="29"/>
        <v>-171086.62047884529</v>
      </c>
    </row>
    <row r="89" spans="1:44" x14ac:dyDescent="0.25">
      <c r="A89">
        <v>1752058</v>
      </c>
      <c r="B89" t="s">
        <v>20</v>
      </c>
      <c r="C89" t="s">
        <v>205</v>
      </c>
      <c r="D89" t="s">
        <v>744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s="5">
        <v>1841.2148360000001</v>
      </c>
      <c r="K89" t="s">
        <v>27</v>
      </c>
      <c r="L89" s="5">
        <v>5985.9919386900001</v>
      </c>
      <c r="M89" t="s">
        <v>206</v>
      </c>
      <c r="N89" s="12">
        <v>225</v>
      </c>
      <c r="O89">
        <v>12</v>
      </c>
      <c r="P89" t="s">
        <v>204</v>
      </c>
      <c r="Q89" s="5">
        <v>2648</v>
      </c>
      <c r="R89" s="5">
        <v>2522.4643253200002</v>
      </c>
      <c r="S89" s="10">
        <v>5088.0931478865004</v>
      </c>
      <c r="T89" s="8">
        <v>0.50714394821139397</v>
      </c>
      <c r="U89" s="5">
        <v>1144820.958274462</v>
      </c>
      <c r="V89" s="5">
        <v>580589.02077446238</v>
      </c>
      <c r="W89" s="5">
        <v>0</v>
      </c>
      <c r="X89" s="5"/>
    </row>
    <row r="90" spans="1:44" x14ac:dyDescent="0.25">
      <c r="A90">
        <v>156222</v>
      </c>
      <c r="B90" t="s">
        <v>30</v>
      </c>
      <c r="C90" t="s">
        <v>207</v>
      </c>
      <c r="D90" t="s">
        <v>777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s="5">
        <v>2040.57853</v>
      </c>
      <c r="K90" t="s">
        <v>27</v>
      </c>
      <c r="L90" s="5">
        <v>6549.9593329199997</v>
      </c>
      <c r="M90" t="s">
        <v>208</v>
      </c>
      <c r="N90" s="12">
        <v>223</v>
      </c>
      <c r="O90">
        <v>4</v>
      </c>
      <c r="P90" t="s">
        <v>204</v>
      </c>
      <c r="Q90" s="5">
        <v>2879</v>
      </c>
      <c r="R90" s="5">
        <v>2795.5925861000001</v>
      </c>
      <c r="S90" s="10">
        <v>5567.4654329819996</v>
      </c>
      <c r="T90" s="8">
        <v>0.50652256318419175</v>
      </c>
      <c r="U90" s="5">
        <v>1241544.791554986</v>
      </c>
      <c r="V90" s="5">
        <v>628870.45012641442</v>
      </c>
      <c r="W90" s="5">
        <v>4958.7</v>
      </c>
      <c r="X90" s="8">
        <f>1-(S90/W90)</f>
        <v>-0.12276714319922566</v>
      </c>
      <c r="AB90">
        <f>A90</f>
        <v>156222</v>
      </c>
      <c r="AC90">
        <f>IFERROR(IF(OR(NOT(ISNUMBER(S90)),NOT(ISNUMBER(W90))),"",IF(OR(S90&lt;=0,W90&lt;=0),"",(1-S90/W90)*100)),"")</f>
        <v>-12.276714319922565</v>
      </c>
      <c r="AD90">
        <f>IF(AC90="","",(MAX(S90,W90)/MIN(S90,W90)-1)*100)</f>
        <v>12.276714319922565</v>
      </c>
      <c r="AE90">
        <f>IF(AC90="","",ABS(W90-S90))</f>
        <v>608.76543298199977</v>
      </c>
      <c r="AF90">
        <f>IF(AC90="","",IF(AND(AE90&lt;MAX(Расч!$B$11,S90*Расч!$B$12),IF(AD90&lt;Расч!$B$7,0,IF(AD90&lt;Расч!$B$8,1,IF(AD90&lt;Расч!$B$9,2,IF(AD90&lt;Расч!$B$10,3,4))))&gt;1),1,IF(AD90&lt;Расч!$B$7,0,IF(AD90&lt;Расч!$B$8,1,IF(AD90&lt;Расч!$B$9,2,IF(AD90&lt;Расч!$B$10,3,4))))))</f>
        <v>0</v>
      </c>
      <c r="AK90">
        <f t="shared" ref="AK90:AK91" si="30">IF(AC90="","",AC90)</f>
        <v>-12.276714319922565</v>
      </c>
      <c r="AL90">
        <f t="shared" ref="AL90:AL91" si="31">IF(AE90="","",AE90)</f>
        <v>608.76543298199977</v>
      </c>
      <c r="AM90">
        <f t="shared" ref="AM90:AM91" si="32">IF(AF90="","",AF90)</f>
        <v>0</v>
      </c>
      <c r="AN90" t="str">
        <f t="shared" ref="AN90:AN91" si="33">IF(AM90="","нет данных",CHOOSE(AM90+1,"Норма","Лёгкое отклонение","Заметный разброс","Выброс","Экстремальный выброс"))</f>
        <v>Норма</v>
      </c>
      <c r="AO90">
        <f>IF(OR(AC90="",NOT(ISNUMBER(N90))),0,MAX(N90,0))</f>
        <v>223</v>
      </c>
      <c r="AP90">
        <f t="shared" ref="AP90:AP91" si="34">IF(AC90="",0,AC90*AO90)</f>
        <v>-2737.7072933427321</v>
      </c>
      <c r="AQ90">
        <f>IF(OR(AC90="",NOT(ISNUMBER(O90))),0,MAX(O90,0)*S90)</f>
        <v>22269.861731927998</v>
      </c>
      <c r="AR90">
        <f t="shared" ref="AR90:AR91" si="35">IF(AC90="",0,AC90*AQ90)</f>
        <v>-273400.73042705597</v>
      </c>
    </row>
    <row r="91" spans="1:44" x14ac:dyDescent="0.25">
      <c r="A91">
        <v>130904</v>
      </c>
      <c r="B91" t="s">
        <v>20</v>
      </c>
      <c r="C91" t="s">
        <v>209</v>
      </c>
      <c r="D91">
        <v>9982410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s="5">
        <v>1335.9024260000001</v>
      </c>
      <c r="K91" t="s">
        <v>27</v>
      </c>
      <c r="L91" s="5">
        <v>4289.1929869799997</v>
      </c>
      <c r="M91" t="s">
        <v>210</v>
      </c>
      <c r="N91" s="12">
        <v>223</v>
      </c>
      <c r="O91">
        <v>45</v>
      </c>
      <c r="P91" t="s">
        <v>204</v>
      </c>
      <c r="Q91" s="5">
        <v>1883</v>
      </c>
      <c r="R91" s="5">
        <v>1830.1863236199999</v>
      </c>
      <c r="S91" s="10">
        <v>3645.8140389330001</v>
      </c>
      <c r="T91" s="8">
        <v>0.49238915363285468</v>
      </c>
      <c r="U91" s="5">
        <v>813016.53068205889</v>
      </c>
      <c r="V91" s="5">
        <v>400320.52143205883</v>
      </c>
      <c r="W91" s="5">
        <v>4608.49</v>
      </c>
      <c r="X91" s="8">
        <f>1-(S91/W91)</f>
        <v>0.20889184115990267</v>
      </c>
      <c r="AB91">
        <f>A91</f>
        <v>130904</v>
      </c>
      <c r="AC91">
        <f>IFERROR(IF(OR(NOT(ISNUMBER(S91)),NOT(ISNUMBER(W91))),"",IF(OR(S91&lt;=0,W91&lt;=0),"",(1-S91/W91)*100)),"")</f>
        <v>20.889184115990268</v>
      </c>
      <c r="AD91">
        <f>IF(AC91="","",(MAX(S91,W91)/MIN(S91,W91)-1)*100)</f>
        <v>26.404966100485481</v>
      </c>
      <c r="AE91">
        <f>IF(AC91="","",ABS(W91-S91))</f>
        <v>962.67596106699966</v>
      </c>
      <c r="AF91">
        <f>IF(AC91="","",IF(AND(AE91&lt;MAX(Расч!$B$11,S91*Расч!$B$12),IF(AD91&lt;Расч!$B$7,0,IF(AD91&lt;Расч!$B$8,1,IF(AD91&lt;Расч!$B$9,2,IF(AD91&lt;Расч!$B$10,3,4))))&gt;1),1,IF(AD91&lt;Расч!$B$7,0,IF(AD91&lt;Расч!$B$8,1,IF(AD91&lt;Расч!$B$9,2,IF(AD91&lt;Расч!$B$10,3,4))))))</f>
        <v>0</v>
      </c>
      <c r="AK91">
        <f t="shared" si="30"/>
        <v>20.889184115990268</v>
      </c>
      <c r="AL91">
        <f t="shared" si="31"/>
        <v>962.67596106699966</v>
      </c>
      <c r="AM91">
        <f t="shared" si="32"/>
        <v>0</v>
      </c>
      <c r="AN91" t="str">
        <f t="shared" si="33"/>
        <v>Норма</v>
      </c>
      <c r="AO91">
        <f>IF(OR(AC91="",NOT(ISNUMBER(N91))),0,MAX(N91,0))</f>
        <v>223</v>
      </c>
      <c r="AP91">
        <f t="shared" si="34"/>
        <v>4658.2880578658296</v>
      </c>
      <c r="AQ91">
        <f>IF(OR(AC91="",NOT(ISNUMBER(O91))),0,MAX(O91,0)*S91)</f>
        <v>164061.631751985</v>
      </c>
      <c r="AR91">
        <f t="shared" si="35"/>
        <v>3427113.6320370096</v>
      </c>
    </row>
    <row r="92" spans="1:44" x14ac:dyDescent="0.25">
      <c r="A92">
        <v>163781</v>
      </c>
      <c r="B92" t="s">
        <v>20</v>
      </c>
      <c r="C92" t="s">
        <v>211</v>
      </c>
      <c r="D92" t="s">
        <v>778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s="5">
        <v>1924.60519</v>
      </c>
      <c r="K92" t="s">
        <v>27</v>
      </c>
      <c r="L92" s="5">
        <v>6178.4726286300001</v>
      </c>
      <c r="M92" t="s">
        <v>212</v>
      </c>
      <c r="N92" s="12">
        <v>218</v>
      </c>
      <c r="O92">
        <v>4</v>
      </c>
      <c r="P92" t="s">
        <v>204</v>
      </c>
      <c r="Q92" s="5">
        <v>2794</v>
      </c>
      <c r="R92" s="5">
        <v>2636.7091102999998</v>
      </c>
      <c r="S92" s="10">
        <v>5251.7017343355001</v>
      </c>
      <c r="T92" s="8">
        <v>0.49208082733253089</v>
      </c>
      <c r="U92" s="5">
        <v>1144870.9780851391</v>
      </c>
      <c r="V92" s="5">
        <v>563369.05808513903</v>
      </c>
      <c r="W92" s="5">
        <v>0</v>
      </c>
    </row>
    <row r="93" spans="1:44" x14ac:dyDescent="0.25">
      <c r="A93">
        <v>130900</v>
      </c>
      <c r="B93" t="s">
        <v>30</v>
      </c>
      <c r="C93" t="s">
        <v>213</v>
      </c>
      <c r="D93" t="s">
        <v>779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s="5">
        <v>1537.475136</v>
      </c>
      <c r="K93" t="s">
        <v>27</v>
      </c>
      <c r="L93" s="5">
        <v>4934.8473916799994</v>
      </c>
      <c r="M93" t="s">
        <v>214</v>
      </c>
      <c r="N93" s="12">
        <v>216</v>
      </c>
      <c r="O93">
        <v>4</v>
      </c>
      <c r="P93" t="s">
        <v>204</v>
      </c>
      <c r="Q93" s="5">
        <v>2232</v>
      </c>
      <c r="R93" s="5">
        <v>2106.3409363199999</v>
      </c>
      <c r="S93" s="10">
        <v>4194.6202829279991</v>
      </c>
      <c r="T93" s="8">
        <v>0.49052162312971492</v>
      </c>
      <c r="U93" s="5">
        <v>906037.9811124478</v>
      </c>
      <c r="V93" s="5">
        <v>444431.22111244791</v>
      </c>
      <c r="W93" s="5">
        <v>2763.5</v>
      </c>
      <c r="X93" s="8">
        <f>1-(S93/W93)</f>
        <v>-0.51786512861516165</v>
      </c>
      <c r="AB93">
        <f>A93</f>
        <v>130900</v>
      </c>
      <c r="AC93">
        <f>IFERROR(IF(OR(NOT(ISNUMBER(S93)),NOT(ISNUMBER(W93))),"",IF(OR(S93&lt;=0,W93&lt;=0),"",(1-S93/W93)*100)),"")</f>
        <v>-51.786512861516165</v>
      </c>
      <c r="AD93">
        <f>IF(AC93="","",(MAX(S93,W93)/MIN(S93,W93)-1)*100)</f>
        <v>51.786512861516165</v>
      </c>
      <c r="AE93">
        <f>IF(AC93="","",ABS(W93-S93))</f>
        <v>1431.1202829279991</v>
      </c>
      <c r="AF93">
        <f>IF(AC93="","",IF(AND(AE93&lt;MAX(Расч!$B$11,S93*Расч!$B$12),IF(AD93&lt;Расч!$B$7,0,IF(AD93&lt;Расч!$B$8,1,IF(AD93&lt;Расч!$B$9,2,IF(AD93&lt;Расч!$B$10,3,4))))&gt;1),1,IF(AD93&lt;Расч!$B$7,0,IF(AD93&lt;Расч!$B$8,1,IF(AD93&lt;Расч!$B$9,2,IF(AD93&lt;Расч!$B$10,3,4))))))</f>
        <v>2</v>
      </c>
      <c r="AK93">
        <f>IF(AC93="","",AC93)</f>
        <v>-51.786512861516165</v>
      </c>
      <c r="AL93">
        <f>IF(AE93="","",AE93)</f>
        <v>1431.1202829279991</v>
      </c>
      <c r="AM93">
        <f>IF(AF93="","",AF93)</f>
        <v>2</v>
      </c>
      <c r="AN93" t="str">
        <f>IF(AM93="","нет данных",CHOOSE(AM93+1,"Норма","Лёгкое отклонение","Заметный разброс","Выброс","Экстремальный выброс"))</f>
        <v>Заметный разброс</v>
      </c>
      <c r="AO93">
        <f>IF(OR(AC93="",NOT(ISNUMBER(N93))),0,MAX(N93,0))</f>
        <v>216</v>
      </c>
      <c r="AP93">
        <f>IF(AC93="",0,AC93*AO93)</f>
        <v>-11185.886778087492</v>
      </c>
      <c r="AQ93">
        <f>IF(OR(AC93="",NOT(ISNUMBER(O93))),0,MAX(O93,0)*S93)</f>
        <v>16778.481131711997</v>
      </c>
      <c r="AR93">
        <f>IF(AC93="",0,AC93*AQ93)</f>
        <v>-868899.02892410965</v>
      </c>
    </row>
    <row r="94" spans="1:44" x14ac:dyDescent="0.25">
      <c r="A94">
        <v>156212</v>
      </c>
      <c r="B94" t="s">
        <v>20</v>
      </c>
      <c r="C94" t="s">
        <v>215</v>
      </c>
      <c r="D94" t="s">
        <v>744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s="5">
        <v>1738.495592</v>
      </c>
      <c r="K94" t="s">
        <v>27</v>
      </c>
      <c r="L94" s="5">
        <v>5582.4878984999996</v>
      </c>
      <c r="M94" t="s">
        <v>216</v>
      </c>
      <c r="N94" s="12">
        <v>213</v>
      </c>
      <c r="O94">
        <v>25</v>
      </c>
      <c r="P94" t="s">
        <v>204</v>
      </c>
      <c r="Q94" s="5">
        <v>2612</v>
      </c>
      <c r="R94" s="5">
        <v>2381.73896104</v>
      </c>
      <c r="S94" s="10">
        <v>4745.1147137249991</v>
      </c>
      <c r="T94" s="8">
        <v>0.4714404565579442</v>
      </c>
      <c r="U94" s="5">
        <v>1010709.434023425</v>
      </c>
      <c r="V94" s="5">
        <v>476489.31702342472</v>
      </c>
      <c r="W94" s="5">
        <v>0</v>
      </c>
      <c r="X94" s="5"/>
    </row>
    <row r="95" spans="1:44" x14ac:dyDescent="0.25">
      <c r="A95">
        <v>130931</v>
      </c>
      <c r="B95" t="s">
        <v>20</v>
      </c>
      <c r="C95" t="s">
        <v>217</v>
      </c>
      <c r="D95" t="s">
        <v>780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s="5">
        <v>1758.9289900000001</v>
      </c>
      <c r="K95" t="s">
        <v>27</v>
      </c>
      <c r="L95" s="5">
        <v>6374.6002129799999</v>
      </c>
      <c r="M95" t="s">
        <v>218</v>
      </c>
      <c r="N95" s="12">
        <v>212</v>
      </c>
      <c r="O95">
        <v>5</v>
      </c>
      <c r="P95" t="s">
        <v>204</v>
      </c>
      <c r="Q95" s="5">
        <v>2576</v>
      </c>
      <c r="R95" s="5">
        <v>2409.7327163</v>
      </c>
      <c r="S95" s="10">
        <v>5418.4101810329994</v>
      </c>
      <c r="T95" s="8">
        <v>0.5459200491716254</v>
      </c>
      <c r="U95" s="5">
        <v>1148702.958378996</v>
      </c>
      <c r="V95" s="5">
        <v>627099.97552185296</v>
      </c>
      <c r="W95" s="5">
        <v>0</v>
      </c>
      <c r="X95" s="5"/>
    </row>
    <row r="96" spans="1:44" x14ac:dyDescent="0.25">
      <c r="A96">
        <v>1855008</v>
      </c>
      <c r="B96" t="s">
        <v>20</v>
      </c>
      <c r="C96" t="s">
        <v>219</v>
      </c>
      <c r="D96" t="s">
        <v>744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s="5">
        <v>1620.313236</v>
      </c>
      <c r="K96" t="s">
        <v>27</v>
      </c>
      <c r="L96" s="5">
        <v>4791.2830272299998</v>
      </c>
      <c r="M96" t="s">
        <v>220</v>
      </c>
      <c r="N96" s="12">
        <v>208</v>
      </c>
      <c r="O96">
        <v>11</v>
      </c>
      <c r="P96" t="s">
        <v>204</v>
      </c>
      <c r="Q96" s="5">
        <v>2207</v>
      </c>
      <c r="R96" s="5">
        <v>2219.82913332</v>
      </c>
      <c r="S96" s="10">
        <v>4072.5905731455</v>
      </c>
      <c r="T96" s="8">
        <v>0.45987584414713578</v>
      </c>
      <c r="U96" s="5">
        <v>847098.83921426395</v>
      </c>
      <c r="V96" s="5">
        <v>389560.29375971848</v>
      </c>
      <c r="W96" s="5">
        <v>0</v>
      </c>
      <c r="X96" s="5"/>
    </row>
    <row r="97" spans="1:44" x14ac:dyDescent="0.25">
      <c r="A97">
        <v>170272</v>
      </c>
      <c r="B97" t="s">
        <v>30</v>
      </c>
      <c r="C97" t="s">
        <v>221</v>
      </c>
      <c r="D97" t="s">
        <v>744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s="5">
        <v>1846.1851220000001</v>
      </c>
      <c r="K97" t="s">
        <v>27</v>
      </c>
      <c r="L97" s="5">
        <v>5926.1862946799993</v>
      </c>
      <c r="M97" t="s">
        <v>222</v>
      </c>
      <c r="N97" s="12">
        <v>206</v>
      </c>
      <c r="O97">
        <v>26</v>
      </c>
      <c r="P97" t="s">
        <v>204</v>
      </c>
      <c r="Q97" s="5">
        <v>2635</v>
      </c>
      <c r="R97" s="5">
        <v>2529.2736171400002</v>
      </c>
      <c r="S97" s="10">
        <v>5037.2583504779996</v>
      </c>
      <c r="T97" s="8">
        <v>0.49948612580721669</v>
      </c>
      <c r="U97" s="5">
        <v>1037675.220198468</v>
      </c>
      <c r="V97" s="5">
        <v>518304.37558308331</v>
      </c>
      <c r="W97" s="5">
        <v>0</v>
      </c>
      <c r="X97" s="5"/>
    </row>
    <row r="98" spans="1:44" x14ac:dyDescent="0.25">
      <c r="A98">
        <v>156225</v>
      </c>
      <c r="B98" t="s">
        <v>30</v>
      </c>
      <c r="C98" t="s">
        <v>223</v>
      </c>
      <c r="D98" t="s">
        <v>720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s="5">
        <v>1510.966944</v>
      </c>
      <c r="K98" t="s">
        <v>27</v>
      </c>
      <c r="L98" s="5">
        <v>4851.3968594999997</v>
      </c>
      <c r="M98" t="s">
        <v>224</v>
      </c>
      <c r="N98" s="12">
        <v>203</v>
      </c>
      <c r="O98">
        <v>9</v>
      </c>
      <c r="P98" t="s">
        <v>204</v>
      </c>
      <c r="Q98" s="5">
        <v>2179</v>
      </c>
      <c r="R98" s="5">
        <v>2070.02471328</v>
      </c>
      <c r="S98" s="10">
        <v>4123.6873305749996</v>
      </c>
      <c r="T98" s="8">
        <v>0.49533904169455539</v>
      </c>
      <c r="U98" s="5">
        <v>837108.52810672496</v>
      </c>
      <c r="V98" s="5">
        <v>414652.53610672499</v>
      </c>
      <c r="W98" s="5">
        <v>0</v>
      </c>
      <c r="X98" s="5"/>
    </row>
    <row r="99" spans="1:44" x14ac:dyDescent="0.25">
      <c r="A99">
        <v>1855012</v>
      </c>
      <c r="B99" t="s">
        <v>30</v>
      </c>
      <c r="C99" t="s">
        <v>225</v>
      </c>
      <c r="D99" t="s">
        <v>744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s="5">
        <v>2098.5652</v>
      </c>
      <c r="K99" t="s">
        <v>27</v>
      </c>
      <c r="L99" s="5">
        <v>6205.4391013799996</v>
      </c>
      <c r="M99" t="s">
        <v>226</v>
      </c>
      <c r="N99" s="12">
        <v>202</v>
      </c>
      <c r="O99">
        <v>2</v>
      </c>
      <c r="P99" t="s">
        <v>204</v>
      </c>
      <c r="Q99" s="5">
        <v>2954</v>
      </c>
      <c r="R99" s="5">
        <v>2875.0343240000002</v>
      </c>
      <c r="S99" s="10">
        <v>5274.6232361729999</v>
      </c>
      <c r="T99" s="8">
        <v>0.46254549887873347</v>
      </c>
      <c r="U99" s="5">
        <v>1065473.8937069459</v>
      </c>
      <c r="V99" s="5">
        <v>492830.153706946</v>
      </c>
      <c r="W99" s="5">
        <v>0</v>
      </c>
      <c r="X99" s="5"/>
    </row>
    <row r="100" spans="1:44" x14ac:dyDescent="0.25">
      <c r="A100">
        <v>130884</v>
      </c>
      <c r="B100" t="s">
        <v>20</v>
      </c>
      <c r="C100" t="s">
        <v>227</v>
      </c>
      <c r="D100" t="s">
        <v>781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s="5">
        <v>1723.0324800000001</v>
      </c>
      <c r="K100" t="s">
        <v>27</v>
      </c>
      <c r="L100" s="5">
        <v>5530.8150002399998</v>
      </c>
      <c r="M100" t="s">
        <v>228</v>
      </c>
      <c r="N100" s="12">
        <v>191</v>
      </c>
      <c r="O100">
        <v>8</v>
      </c>
      <c r="P100" t="s">
        <v>204</v>
      </c>
      <c r="Q100" s="5">
        <v>2488</v>
      </c>
      <c r="R100" s="5">
        <v>2360.5544976000001</v>
      </c>
      <c r="S100" s="10">
        <v>4701.1927502039998</v>
      </c>
      <c r="T100" s="8">
        <v>0.49339611742218981</v>
      </c>
      <c r="U100" s="5">
        <v>897927.81528896396</v>
      </c>
      <c r="V100" s="5">
        <v>443034.09778896399</v>
      </c>
      <c r="W100" s="5">
        <v>0</v>
      </c>
      <c r="X100" s="5"/>
    </row>
    <row r="101" spans="1:44" x14ac:dyDescent="0.25">
      <c r="A101">
        <v>130944</v>
      </c>
      <c r="B101" t="s">
        <v>20</v>
      </c>
      <c r="C101" t="s">
        <v>229</v>
      </c>
      <c r="D101" t="s">
        <v>782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s="5">
        <v>1467.891132</v>
      </c>
      <c r="K101" t="s">
        <v>27</v>
      </c>
      <c r="L101" s="5">
        <v>5275.9775523600001</v>
      </c>
      <c r="M101" t="s">
        <v>230</v>
      </c>
      <c r="N101" s="12">
        <v>190</v>
      </c>
      <c r="O101">
        <v>3</v>
      </c>
      <c r="P101" t="s">
        <v>204</v>
      </c>
      <c r="Q101" s="5">
        <v>2083</v>
      </c>
      <c r="R101" s="5">
        <v>2011.0108508400001</v>
      </c>
      <c r="S101" s="10">
        <v>4484.5809195060001</v>
      </c>
      <c r="T101" s="8">
        <v>0.55417417237278044</v>
      </c>
      <c r="U101" s="5">
        <v>852070.37470614002</v>
      </c>
      <c r="V101" s="5">
        <v>472195.39470613998</v>
      </c>
      <c r="W101" s="5">
        <v>3657.5</v>
      </c>
      <c r="X101" s="8">
        <f>1-(S101/W101)</f>
        <v>-0.22613285564073826</v>
      </c>
      <c r="AB101">
        <f>A101</f>
        <v>130944</v>
      </c>
      <c r="AC101">
        <f>IFERROR(IF(OR(NOT(ISNUMBER(S101)),NOT(ISNUMBER(W101))),"",IF(OR(S101&lt;=0,W101&lt;=0),"",(1-S101/W101)*100)),"")</f>
        <v>-22.613285564073827</v>
      </c>
      <c r="AD101">
        <f>IF(AC101="","",(MAX(S101,W101)/MIN(S101,W101)-1)*100)</f>
        <v>22.613285564073827</v>
      </c>
      <c r="AE101">
        <f>IF(AC101="","",ABS(W101-S101))</f>
        <v>827.0809195060001</v>
      </c>
      <c r="AF101">
        <f>IF(AC101="","",IF(AND(AE101&lt;MAX(Расч!$B$11,S101*Расч!$B$12),IF(AD101&lt;Расч!$B$7,0,IF(AD101&lt;Расч!$B$8,1,IF(AD101&lt;Расч!$B$9,2,IF(AD101&lt;Расч!$B$10,3,4))))&gt;1),1,IF(AD101&lt;Расч!$B$7,0,IF(AD101&lt;Расч!$B$8,1,IF(AD101&lt;Расч!$B$9,2,IF(AD101&lt;Расч!$B$10,3,4))))))</f>
        <v>0</v>
      </c>
      <c r="AK101">
        <f t="shared" ref="AK101:AK103" si="36">IF(AC101="","",AC101)</f>
        <v>-22.613285564073827</v>
      </c>
      <c r="AL101">
        <f t="shared" ref="AL101:AL103" si="37">IF(AE101="","",AE101)</f>
        <v>827.0809195060001</v>
      </c>
      <c r="AM101">
        <f t="shared" ref="AM101:AM103" si="38">IF(AF101="","",AF101)</f>
        <v>0</v>
      </c>
      <c r="AN101" t="str">
        <f t="shared" ref="AN101:AN103" si="39">IF(AM101="","нет данных",CHOOSE(AM101+1,"Норма","Лёгкое отклонение","Заметный разброс","Выброс","Экстремальный выброс"))</f>
        <v>Норма</v>
      </c>
      <c r="AO101">
        <f>IF(OR(AC101="",NOT(ISNUMBER(N101))),0,MAX(N101,0))</f>
        <v>190</v>
      </c>
      <c r="AP101">
        <f t="shared" ref="AP101:AP103" si="40">IF(AC101="",0,AC101*AO101)</f>
        <v>-4296.5242571740273</v>
      </c>
      <c r="AQ101">
        <f>IF(OR(AC101="",NOT(ISNUMBER(O101))),0,MAX(O101,0)*S101)</f>
        <v>13453.742758518001</v>
      </c>
      <c r="AR101">
        <f t="shared" ref="AR101:AR103" si="41">IF(AC101="",0,AC101*AQ101)</f>
        <v>-304233.32690395793</v>
      </c>
    </row>
    <row r="102" spans="1:44" x14ac:dyDescent="0.25">
      <c r="A102">
        <v>163784</v>
      </c>
      <c r="B102" t="s">
        <v>20</v>
      </c>
      <c r="C102" t="s">
        <v>231</v>
      </c>
      <c r="D102" t="s">
        <v>716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s="5">
        <v>1415.9792560000001</v>
      </c>
      <c r="K102" t="s">
        <v>27</v>
      </c>
      <c r="L102" s="5">
        <v>4547.4376272899999</v>
      </c>
      <c r="M102" t="s">
        <v>232</v>
      </c>
      <c r="N102" s="12">
        <v>189</v>
      </c>
      <c r="O102">
        <v>2</v>
      </c>
      <c r="P102" t="s">
        <v>204</v>
      </c>
      <c r="Q102" s="5">
        <v>1939</v>
      </c>
      <c r="R102" s="5">
        <v>1939.8915807200001</v>
      </c>
      <c r="S102" s="10">
        <v>3865.3219831964998</v>
      </c>
      <c r="T102" s="8">
        <v>0.49812936951871439</v>
      </c>
      <c r="U102" s="5">
        <v>730545.85482413846</v>
      </c>
      <c r="V102" s="5">
        <v>363906.3460680584</v>
      </c>
      <c r="W102" s="5">
        <v>3594.2</v>
      </c>
      <c r="X102" s="8">
        <f>1-(S102/W102)</f>
        <v>-7.5433193254827113E-2</v>
      </c>
      <c r="AB102">
        <f>A102</f>
        <v>163784</v>
      </c>
      <c r="AC102">
        <f>IFERROR(IF(OR(NOT(ISNUMBER(S102)),NOT(ISNUMBER(W102))),"",IF(OR(S102&lt;=0,W102&lt;=0),"",(1-S102/W102)*100)),"")</f>
        <v>-7.5433193254827113</v>
      </c>
      <c r="AD102">
        <f>IF(AC102="","",(MAX(S102,W102)/MIN(S102,W102)-1)*100)</f>
        <v>7.5433193254827113</v>
      </c>
      <c r="AE102">
        <f>IF(AC102="","",ABS(W102-S102))</f>
        <v>271.12198319649997</v>
      </c>
      <c r="AF102">
        <f>IF(AC102="","",IF(AND(AE102&lt;MAX(Расч!$B$11,S102*Расч!$B$12),IF(AD102&lt;Расч!$B$7,0,IF(AD102&lt;Расч!$B$8,1,IF(AD102&lt;Расч!$B$9,2,IF(AD102&lt;Расч!$B$10,3,4))))&gt;1),1,IF(AD102&lt;Расч!$B$7,0,IF(AD102&lt;Расч!$B$8,1,IF(AD102&lt;Расч!$B$9,2,IF(AD102&lt;Расч!$B$10,3,4))))))</f>
        <v>0</v>
      </c>
      <c r="AK102">
        <f t="shared" si="36"/>
        <v>-7.5433193254827113</v>
      </c>
      <c r="AL102">
        <f t="shared" si="37"/>
        <v>271.12198319649997</v>
      </c>
      <c r="AM102">
        <f t="shared" si="38"/>
        <v>0</v>
      </c>
      <c r="AN102" t="str">
        <f t="shared" si="39"/>
        <v>Норма</v>
      </c>
      <c r="AO102">
        <f>IF(OR(AC102="",NOT(ISNUMBER(N102))),0,MAX(N102,0))</f>
        <v>189</v>
      </c>
      <c r="AP102">
        <f t="shared" si="40"/>
        <v>-1425.6873525162325</v>
      </c>
      <c r="AQ102">
        <f>IF(OR(AC102="",NOT(ISNUMBER(O102))),0,MAX(O102,0)*S102)</f>
        <v>7730.6439663929996</v>
      </c>
      <c r="AR102">
        <f t="shared" si="41"/>
        <v>-58314.71603011863</v>
      </c>
    </row>
    <row r="103" spans="1:44" x14ac:dyDescent="0.25">
      <c r="A103">
        <v>130899</v>
      </c>
      <c r="B103" t="s">
        <v>30</v>
      </c>
      <c r="C103" t="s">
        <v>233</v>
      </c>
      <c r="D103">
        <v>9896920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 s="5">
        <v>1423.710812</v>
      </c>
      <c r="K103" t="s">
        <v>27</v>
      </c>
      <c r="L103" s="5">
        <v>4571.2879743000003</v>
      </c>
      <c r="M103" t="s">
        <v>234</v>
      </c>
      <c r="N103" s="12">
        <v>189</v>
      </c>
      <c r="O103">
        <v>12</v>
      </c>
      <c r="P103" t="s">
        <v>204</v>
      </c>
      <c r="Q103" s="5">
        <v>1997</v>
      </c>
      <c r="R103" s="5">
        <v>1950.4838124400001</v>
      </c>
      <c r="S103" s="10">
        <v>3885.5947781549999</v>
      </c>
      <c r="T103" s="8">
        <v>0.4916428210411794</v>
      </c>
      <c r="U103" s="5">
        <v>734377.41307129501</v>
      </c>
      <c r="V103" s="5">
        <v>361051.38307129499</v>
      </c>
      <c r="W103" s="5">
        <v>2891.9</v>
      </c>
      <c r="X103" s="8">
        <f>1-(S103/W103)</f>
        <v>-0.34361311876447997</v>
      </c>
      <c r="AB103">
        <f>A103</f>
        <v>130899</v>
      </c>
      <c r="AC103">
        <f>IFERROR(IF(OR(NOT(ISNUMBER(S103)),NOT(ISNUMBER(W103))),"",IF(OR(S103&lt;=0,W103&lt;=0),"",(1-S103/W103)*100)),"")</f>
        <v>-34.361311876447999</v>
      </c>
      <c r="AD103">
        <f>IF(AC103="","",(MAX(S103,W103)/MIN(S103,W103)-1)*100)</f>
        <v>34.361311876447999</v>
      </c>
      <c r="AE103">
        <f>IF(AC103="","",ABS(W103-S103))</f>
        <v>993.69477815499977</v>
      </c>
      <c r="AF103">
        <f>IF(AC103="","",IF(AND(AE103&lt;MAX(Расч!$B$11,S103*Расч!$B$12),IF(AD103&lt;Расч!$B$7,0,IF(AD103&lt;Расч!$B$8,1,IF(AD103&lt;Расч!$B$9,2,IF(AD103&lt;Расч!$B$10,3,4))))&gt;1),1,IF(AD103&lt;Расч!$B$7,0,IF(AD103&lt;Расч!$B$8,1,IF(AD103&lt;Расч!$B$9,2,IF(AD103&lt;Расч!$B$10,3,4))))))</f>
        <v>1</v>
      </c>
      <c r="AK103">
        <f t="shared" si="36"/>
        <v>-34.361311876447999</v>
      </c>
      <c r="AL103">
        <f t="shared" si="37"/>
        <v>993.69477815499977</v>
      </c>
      <c r="AM103">
        <f t="shared" si="38"/>
        <v>1</v>
      </c>
      <c r="AN103" t="str">
        <f t="shared" si="39"/>
        <v>Лёгкое отклонение</v>
      </c>
      <c r="AO103">
        <f>IF(OR(AC103="",NOT(ISNUMBER(N103))),0,MAX(N103,0))</f>
        <v>189</v>
      </c>
      <c r="AP103">
        <f t="shared" si="40"/>
        <v>-6494.2879446486722</v>
      </c>
      <c r="AQ103">
        <f>IF(OR(AC103="",NOT(ISNUMBER(O103))),0,MAX(O103,0)*S103)</f>
        <v>46627.137337859996</v>
      </c>
      <c r="AR103">
        <f t="shared" si="41"/>
        <v>-1602169.6079721807</v>
      </c>
    </row>
    <row r="104" spans="1:44" x14ac:dyDescent="0.25">
      <c r="A104">
        <v>170250</v>
      </c>
      <c r="B104" t="s">
        <v>20</v>
      </c>
      <c r="C104" t="s">
        <v>235</v>
      </c>
      <c r="D104">
        <v>9781211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s="5">
        <v>2032.2947200000001</v>
      </c>
      <c r="K104" t="s">
        <v>27</v>
      </c>
      <c r="L104" s="5">
        <v>6524.1742485000004</v>
      </c>
      <c r="M104" t="s">
        <v>236</v>
      </c>
      <c r="N104" s="12">
        <v>183</v>
      </c>
      <c r="O104">
        <v>9</v>
      </c>
      <c r="P104" t="s">
        <v>204</v>
      </c>
      <c r="Q104" s="5">
        <v>2982</v>
      </c>
      <c r="R104" s="5">
        <v>2784.2437663999999</v>
      </c>
      <c r="S104" s="10">
        <v>5545.548111224999</v>
      </c>
      <c r="T104" s="8">
        <v>0.48549960987780449</v>
      </c>
      <c r="U104" s="5">
        <v>1014835.304354175</v>
      </c>
      <c r="V104" s="5">
        <v>492702.1443541749</v>
      </c>
      <c r="W104" s="5">
        <v>0</v>
      </c>
      <c r="X104" s="5"/>
    </row>
    <row r="105" spans="1:44" x14ac:dyDescent="0.25">
      <c r="A105">
        <v>170273</v>
      </c>
      <c r="B105" t="s">
        <v>30</v>
      </c>
      <c r="C105" t="s">
        <v>237</v>
      </c>
      <c r="D105" t="s">
        <v>744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s="5">
        <v>1254.721088</v>
      </c>
      <c r="K105" t="s">
        <v>27</v>
      </c>
      <c r="L105" s="5">
        <v>4165.8834398399986</v>
      </c>
      <c r="M105" t="s">
        <v>238</v>
      </c>
      <c r="N105" s="12">
        <v>182</v>
      </c>
      <c r="O105">
        <v>33</v>
      </c>
      <c r="P105" t="s">
        <v>204</v>
      </c>
      <c r="Q105" s="5">
        <v>1805</v>
      </c>
      <c r="R105" s="5">
        <v>1718.9678905599999</v>
      </c>
      <c r="S105" s="10">
        <v>3541.000923864</v>
      </c>
      <c r="T105" s="8">
        <v>0.51209549749781358</v>
      </c>
      <c r="U105" s="5">
        <v>644462.16814324795</v>
      </c>
      <c r="V105" s="5">
        <v>330026.17461383622</v>
      </c>
      <c r="W105" s="5">
        <v>0</v>
      </c>
      <c r="X105" s="5"/>
    </row>
    <row r="106" spans="1:44" x14ac:dyDescent="0.25">
      <c r="A106">
        <v>1859644</v>
      </c>
      <c r="B106" t="s">
        <v>20</v>
      </c>
      <c r="C106" t="s">
        <v>239</v>
      </c>
      <c r="D106" t="s">
        <v>744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s="5">
        <v>2254.8530820000001</v>
      </c>
      <c r="K106" t="s">
        <v>27</v>
      </c>
      <c r="L106" s="5">
        <v>6552.3734742899996</v>
      </c>
      <c r="M106" t="s">
        <v>240</v>
      </c>
      <c r="N106" s="12">
        <v>182</v>
      </c>
      <c r="O106">
        <v>4</v>
      </c>
      <c r="P106" t="s">
        <v>204</v>
      </c>
      <c r="Q106" s="5">
        <v>3123</v>
      </c>
      <c r="R106" s="5">
        <v>3089.1487223399999</v>
      </c>
      <c r="S106" s="10">
        <v>5569.5174531465</v>
      </c>
      <c r="T106" s="8">
        <v>0.46871788716124402</v>
      </c>
      <c r="U106" s="5">
        <v>1013652.1764726629</v>
      </c>
      <c r="V106" s="5">
        <v>475116.90647266299</v>
      </c>
      <c r="W106" s="5">
        <v>0</v>
      </c>
      <c r="X106" s="5"/>
    </row>
    <row r="107" spans="1:44" x14ac:dyDescent="0.25">
      <c r="A107">
        <v>163765</v>
      </c>
      <c r="B107" t="s">
        <v>30</v>
      </c>
      <c r="C107" t="s">
        <v>241</v>
      </c>
      <c r="D107" t="s">
        <v>783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s="5">
        <v>1364.6196339999999</v>
      </c>
      <c r="K107" t="s">
        <v>27</v>
      </c>
      <c r="L107" s="5">
        <v>4380.5536844999997</v>
      </c>
      <c r="M107" t="s">
        <v>242</v>
      </c>
      <c r="N107" s="12">
        <v>177</v>
      </c>
      <c r="O107">
        <v>7</v>
      </c>
      <c r="P107" t="s">
        <v>204</v>
      </c>
      <c r="Q107" s="5">
        <v>1972</v>
      </c>
      <c r="R107" s="5">
        <v>1869.52889858</v>
      </c>
      <c r="S107" s="10">
        <v>3723.4706318250001</v>
      </c>
      <c r="T107" s="8">
        <v>0.49230162208276901</v>
      </c>
      <c r="U107" s="5">
        <v>659054.30183302495</v>
      </c>
      <c r="V107" s="5">
        <v>324453.50183302502</v>
      </c>
      <c r="W107" s="5">
        <v>0</v>
      </c>
    </row>
    <row r="108" spans="1:44" x14ac:dyDescent="0.25">
      <c r="A108">
        <v>170260</v>
      </c>
      <c r="B108" t="s">
        <v>243</v>
      </c>
      <c r="C108" t="s">
        <v>244</v>
      </c>
      <c r="D108" t="s">
        <v>724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s="5">
        <v>2604.9821179999999</v>
      </c>
      <c r="K108" t="s">
        <v>27</v>
      </c>
      <c r="L108" s="5">
        <v>8361.8152350299988</v>
      </c>
      <c r="M108" t="s">
        <v>245</v>
      </c>
      <c r="N108" s="12">
        <v>175</v>
      </c>
      <c r="O108">
        <v>8</v>
      </c>
      <c r="P108" t="s">
        <v>204</v>
      </c>
      <c r="Q108" s="5">
        <v>3643</v>
      </c>
      <c r="R108" s="5">
        <v>3568.8255016600001</v>
      </c>
      <c r="S108" s="10">
        <v>7107.5429497754994</v>
      </c>
      <c r="T108" s="8">
        <v>0.49328593222025369</v>
      </c>
      <c r="U108" s="5">
        <v>1243820.016210712</v>
      </c>
      <c r="V108" s="5">
        <v>613558.91621071228</v>
      </c>
      <c r="W108" s="5">
        <v>0</v>
      </c>
      <c r="X108" s="5"/>
    </row>
    <row r="109" spans="1:44" x14ac:dyDescent="0.25">
      <c r="A109">
        <v>130889</v>
      </c>
      <c r="B109" t="s">
        <v>30</v>
      </c>
      <c r="C109" t="s">
        <v>246</v>
      </c>
      <c r="D109" t="s">
        <v>784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s="5">
        <v>1300.55817</v>
      </c>
      <c r="K109" t="s">
        <v>27</v>
      </c>
      <c r="L109" s="5">
        <v>4618.73184477</v>
      </c>
      <c r="M109" t="s">
        <v>247</v>
      </c>
      <c r="N109" s="12">
        <v>173</v>
      </c>
      <c r="O109">
        <v>19</v>
      </c>
      <c r="P109" t="s">
        <v>204</v>
      </c>
      <c r="Q109" s="5">
        <v>1933</v>
      </c>
      <c r="R109" s="5">
        <v>1781.7646929</v>
      </c>
      <c r="S109" s="10">
        <v>3925.9220680545</v>
      </c>
      <c r="T109" s="8">
        <v>0.52866438942916061</v>
      </c>
      <c r="U109" s="5">
        <v>679184.51777342847</v>
      </c>
      <c r="V109" s="5">
        <v>359060.66839842842</v>
      </c>
      <c r="W109" s="5">
        <v>0</v>
      </c>
      <c r="X109" s="5"/>
    </row>
    <row r="110" spans="1:44" x14ac:dyDescent="0.25">
      <c r="A110">
        <v>130881</v>
      </c>
      <c r="B110" t="s">
        <v>20</v>
      </c>
      <c r="C110" t="s">
        <v>248</v>
      </c>
      <c r="D110" t="s">
        <v>731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 s="5">
        <v>1987.009892</v>
      </c>
      <c r="K110" t="s">
        <v>27</v>
      </c>
      <c r="L110" s="5">
        <v>6379.13742903</v>
      </c>
      <c r="M110" t="s">
        <v>249</v>
      </c>
      <c r="N110" s="12">
        <v>172</v>
      </c>
      <c r="O110">
        <v>14</v>
      </c>
      <c r="P110" t="s">
        <v>204</v>
      </c>
      <c r="Q110" s="5">
        <v>2898</v>
      </c>
      <c r="R110" s="5">
        <v>2722.20355204</v>
      </c>
      <c r="S110" s="10">
        <v>5422.2668146755004</v>
      </c>
      <c r="T110" s="8">
        <v>0.48875348728741969</v>
      </c>
      <c r="U110" s="5">
        <v>932629.89212418592</v>
      </c>
      <c r="V110" s="5">
        <v>455826.11212418601</v>
      </c>
      <c r="W110" s="5">
        <v>0</v>
      </c>
      <c r="X110" s="5"/>
    </row>
    <row r="111" spans="1:44" x14ac:dyDescent="0.25">
      <c r="A111">
        <v>130906</v>
      </c>
      <c r="B111" t="s">
        <v>20</v>
      </c>
      <c r="C111" t="s">
        <v>250</v>
      </c>
      <c r="D111" t="s">
        <v>741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 s="5">
        <v>1723.0324800000001</v>
      </c>
      <c r="K111" t="s">
        <v>27</v>
      </c>
      <c r="L111" s="5">
        <v>5530.8150002399998</v>
      </c>
      <c r="M111" t="s">
        <v>251</v>
      </c>
      <c r="N111" s="12">
        <v>171</v>
      </c>
      <c r="O111">
        <v>7</v>
      </c>
      <c r="P111" t="s">
        <v>204</v>
      </c>
      <c r="Q111" s="5">
        <v>2547</v>
      </c>
      <c r="R111" s="5">
        <v>2360.5544976000001</v>
      </c>
      <c r="S111" s="10">
        <v>4701.1927502039998</v>
      </c>
      <c r="T111" s="8">
        <v>0.48058367743078839</v>
      </c>
      <c r="U111" s="5">
        <v>803903.96028488397</v>
      </c>
      <c r="V111" s="5">
        <v>386343.12153488398</v>
      </c>
      <c r="W111" s="5">
        <v>0</v>
      </c>
      <c r="X111" s="5"/>
    </row>
    <row r="112" spans="1:44" x14ac:dyDescent="0.25">
      <c r="A112">
        <v>1853650</v>
      </c>
      <c r="B112" t="s">
        <v>252</v>
      </c>
      <c r="C112" t="s">
        <v>253</v>
      </c>
      <c r="D112" t="s">
        <v>744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s="5">
        <v>1494.9515779999999</v>
      </c>
      <c r="K112" t="s">
        <v>27</v>
      </c>
      <c r="L112" s="5">
        <v>3072.2945208000001</v>
      </c>
      <c r="M112" t="s">
        <v>254</v>
      </c>
      <c r="N112" s="12">
        <v>170</v>
      </c>
      <c r="O112">
        <v>2</v>
      </c>
      <c r="P112" t="s">
        <v>204</v>
      </c>
      <c r="Q112" s="5">
        <v>2320</v>
      </c>
      <c r="R112" s="5">
        <v>2048.083661860001</v>
      </c>
      <c r="S112" s="10">
        <v>2611.4503426800002</v>
      </c>
      <c r="T112" s="8">
        <v>0.14720377270719781</v>
      </c>
      <c r="U112" s="5">
        <v>443946.55825559999</v>
      </c>
      <c r="V112" s="5">
        <v>65350.608255600077</v>
      </c>
      <c r="W112" s="5">
        <v>0</v>
      </c>
      <c r="X112" s="5"/>
    </row>
    <row r="113" spans="1:44" x14ac:dyDescent="0.25">
      <c r="A113">
        <v>1859651</v>
      </c>
      <c r="B113" t="s">
        <v>20</v>
      </c>
      <c r="C113" t="s">
        <v>255</v>
      </c>
      <c r="D113" t="s">
        <v>744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 s="5">
        <v>1642.4033959999999</v>
      </c>
      <c r="K113" t="s">
        <v>27</v>
      </c>
      <c r="L113" s="5">
        <v>5177.57988957</v>
      </c>
      <c r="M113" t="s">
        <v>256</v>
      </c>
      <c r="N113" s="12">
        <v>170</v>
      </c>
      <c r="O113">
        <v>28</v>
      </c>
      <c r="P113" t="s">
        <v>204</v>
      </c>
      <c r="Q113" s="5">
        <v>2297</v>
      </c>
      <c r="R113" s="5">
        <v>2250.0926525199998</v>
      </c>
      <c r="S113" s="10">
        <v>4400.9429061344999</v>
      </c>
      <c r="T113" s="8">
        <v>0.50516105275761136</v>
      </c>
      <c r="U113" s="5">
        <v>748160.29404286505</v>
      </c>
      <c r="V113" s="5">
        <v>377941.44177013781</v>
      </c>
      <c r="W113" s="5">
        <v>0</v>
      </c>
      <c r="X113" s="5"/>
    </row>
    <row r="114" spans="1:44" x14ac:dyDescent="0.25">
      <c r="A114">
        <v>170256</v>
      </c>
      <c r="B114" t="s">
        <v>20</v>
      </c>
      <c r="C114" t="s">
        <v>257</v>
      </c>
      <c r="D114">
        <v>9591410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s="5">
        <v>1746.7794019999999</v>
      </c>
      <c r="K114" t="s">
        <v>27</v>
      </c>
      <c r="L114" s="5">
        <v>5608.3072260599993</v>
      </c>
      <c r="M114" t="s">
        <v>258</v>
      </c>
      <c r="N114" s="12">
        <v>168</v>
      </c>
      <c r="O114">
        <v>10</v>
      </c>
      <c r="P114" t="s">
        <v>204</v>
      </c>
      <c r="Q114" s="5">
        <v>2620</v>
      </c>
      <c r="R114" s="5">
        <v>2393.0877807400002</v>
      </c>
      <c r="S114" s="10">
        <v>4767.0611421509993</v>
      </c>
      <c r="T114" s="8">
        <v>0.47239955678569218</v>
      </c>
      <c r="U114" s="5">
        <v>800866.27188136789</v>
      </c>
      <c r="V114" s="5">
        <v>378328.87188136787</v>
      </c>
      <c r="W114" s="5">
        <v>0</v>
      </c>
      <c r="X114" s="5"/>
    </row>
    <row r="115" spans="1:44" x14ac:dyDescent="0.25">
      <c r="A115">
        <v>1752060</v>
      </c>
      <c r="B115" t="s">
        <v>30</v>
      </c>
      <c r="C115" t="s">
        <v>259</v>
      </c>
      <c r="D115" t="s">
        <v>744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s="5">
        <v>1415.9792560000001</v>
      </c>
      <c r="K115" t="s">
        <v>27</v>
      </c>
      <c r="L115" s="5">
        <v>4547.4376272899999</v>
      </c>
      <c r="M115" t="s">
        <v>260</v>
      </c>
      <c r="N115" s="12">
        <v>166</v>
      </c>
      <c r="O115">
        <v>8</v>
      </c>
      <c r="P115" t="s">
        <v>204</v>
      </c>
      <c r="Q115" s="5">
        <v>2006</v>
      </c>
      <c r="R115" s="5">
        <v>1939.8915807200001</v>
      </c>
      <c r="S115" s="10">
        <v>3865.3219831964998</v>
      </c>
      <c r="T115" s="8">
        <v>0.50553580228450246</v>
      </c>
      <c r="U115" s="5">
        <v>641643.44921061897</v>
      </c>
      <c r="V115" s="5">
        <v>324373.73587728571</v>
      </c>
      <c r="W115" s="5">
        <v>0</v>
      </c>
      <c r="X115" s="5"/>
    </row>
    <row r="116" spans="1:44" x14ac:dyDescent="0.25">
      <c r="A116">
        <v>163782</v>
      </c>
      <c r="B116" t="s">
        <v>261</v>
      </c>
      <c r="C116" t="s">
        <v>262</v>
      </c>
      <c r="D116" t="s">
        <v>744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s="5">
        <v>2598.3550700000001</v>
      </c>
      <c r="K116" t="s">
        <v>27</v>
      </c>
      <c r="L116" s="5">
        <v>8339.9509901399997</v>
      </c>
      <c r="M116" t="s">
        <v>263</v>
      </c>
      <c r="N116" s="12">
        <v>166</v>
      </c>
      <c r="O116">
        <v>8</v>
      </c>
      <c r="P116" t="s">
        <v>204</v>
      </c>
      <c r="Q116" s="5">
        <v>3495</v>
      </c>
      <c r="R116" s="5">
        <v>3559.7464458999998</v>
      </c>
      <c r="S116" s="10">
        <v>7088.9583416189998</v>
      </c>
      <c r="T116" s="8">
        <v>0.50489952154732243</v>
      </c>
      <c r="U116" s="5">
        <v>1176767.084708754</v>
      </c>
      <c r="V116" s="5">
        <v>594149.13804208732</v>
      </c>
      <c r="W116" s="5">
        <v>0</v>
      </c>
      <c r="X116" s="5"/>
    </row>
    <row r="117" spans="1:44" x14ac:dyDescent="0.25">
      <c r="A117">
        <v>163768</v>
      </c>
      <c r="B117" t="s">
        <v>30</v>
      </c>
      <c r="C117" t="s">
        <v>264</v>
      </c>
      <c r="D117" t="s">
        <v>744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 s="5">
        <v>1545.206692</v>
      </c>
      <c r="K117" t="s">
        <v>27</v>
      </c>
      <c r="L117" s="5">
        <v>4958.6806171199996</v>
      </c>
      <c r="M117" t="s">
        <v>265</v>
      </c>
      <c r="N117" s="12">
        <v>164</v>
      </c>
      <c r="O117">
        <v>7</v>
      </c>
      <c r="P117" t="s">
        <v>204</v>
      </c>
      <c r="Q117" s="5">
        <v>2275</v>
      </c>
      <c r="R117" s="5">
        <v>2116.9331680400001</v>
      </c>
      <c r="S117" s="10">
        <v>4214.8785245519994</v>
      </c>
      <c r="T117" s="8">
        <v>0.4811570517960676</v>
      </c>
      <c r="U117" s="5">
        <v>691240.07802652789</v>
      </c>
      <c r="V117" s="5">
        <v>332595.03802652791</v>
      </c>
      <c r="W117" s="5">
        <v>0</v>
      </c>
      <c r="X117" s="5"/>
    </row>
    <row r="118" spans="1:44" x14ac:dyDescent="0.25">
      <c r="A118">
        <v>1752056</v>
      </c>
      <c r="B118" t="s">
        <v>20</v>
      </c>
      <c r="C118" t="s">
        <v>266</v>
      </c>
      <c r="D118" t="s">
        <v>744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s="5">
        <v>1232.630928</v>
      </c>
      <c r="K118" t="s">
        <v>27</v>
      </c>
      <c r="L118" s="5">
        <v>3838.6902371400001</v>
      </c>
      <c r="M118" t="s">
        <v>267</v>
      </c>
      <c r="N118" s="12">
        <v>163</v>
      </c>
      <c r="O118">
        <v>2</v>
      </c>
      <c r="P118" t="s">
        <v>204</v>
      </c>
      <c r="Q118" s="5">
        <v>1696</v>
      </c>
      <c r="R118" s="5">
        <v>1688.7043713600001</v>
      </c>
      <c r="S118" s="10">
        <v>3262.8867015689998</v>
      </c>
      <c r="T118" s="8">
        <v>0.4824508094173281</v>
      </c>
      <c r="U118" s="5">
        <v>531850.53235574695</v>
      </c>
      <c r="V118" s="5">
        <v>256591.719824067</v>
      </c>
      <c r="W118" s="5">
        <v>2739.9</v>
      </c>
      <c r="X118" s="8">
        <f>1-(S118/W118)</f>
        <v>-0.19087802531807729</v>
      </c>
      <c r="AB118">
        <f>A118</f>
        <v>1752056</v>
      </c>
      <c r="AC118">
        <f>IFERROR(IF(OR(NOT(ISNUMBER(S118)),NOT(ISNUMBER(W118))),"",IF(OR(S118&lt;=0,W118&lt;=0),"",(1-S118/W118)*100)),"")</f>
        <v>-19.087802531807728</v>
      </c>
      <c r="AD118">
        <f>IF(AC118="","",(MAX(S118,W118)/MIN(S118,W118)-1)*100)</f>
        <v>19.087802531807728</v>
      </c>
      <c r="AE118">
        <f>IF(AC118="","",ABS(W118-S118))</f>
        <v>522.98670156899971</v>
      </c>
      <c r="AF118">
        <f>IF(AC118="","",IF(AND(AE118&lt;MAX(Расч!$B$11,S118*Расч!$B$12),IF(AD118&lt;Расч!$B$7,0,IF(AD118&lt;Расч!$B$8,1,IF(AD118&lt;Расч!$B$9,2,IF(AD118&lt;Расч!$B$10,3,4))))&gt;1),1,IF(AD118&lt;Расч!$B$7,0,IF(AD118&lt;Расч!$B$8,1,IF(AD118&lt;Расч!$B$9,2,IF(AD118&lt;Расч!$B$10,3,4))))))</f>
        <v>0</v>
      </c>
      <c r="AK118">
        <f>IF(AC118="","",AC118)</f>
        <v>-19.087802531807728</v>
      </c>
      <c r="AL118">
        <f>IF(AE118="","",AE118)</f>
        <v>522.98670156899971</v>
      </c>
      <c r="AM118">
        <f>IF(AF118="","",AF118)</f>
        <v>0</v>
      </c>
      <c r="AN118" t="str">
        <f>IF(AM118="","нет данных",CHOOSE(AM118+1,"Норма","Лёгкое отклонение","Заметный разброс","Выброс","Экстремальный выброс"))</f>
        <v>Норма</v>
      </c>
      <c r="AO118">
        <f>IF(OR(AC118="",NOT(ISNUMBER(N118))),0,MAX(N118,0))</f>
        <v>163</v>
      </c>
      <c r="AP118">
        <f>IF(AC118="",0,AC118*AO118)</f>
        <v>-3111.3118126846598</v>
      </c>
      <c r="AQ118">
        <f>IF(OR(AC118="",NOT(ISNUMBER(O118))),0,MAX(O118,0)*S118)</f>
        <v>6525.7734031379996</v>
      </c>
      <c r="AR118">
        <f>IF(AC118="",0,AC118*AQ118)</f>
        <v>-124562.67408642104</v>
      </c>
    </row>
    <row r="119" spans="1:44" x14ac:dyDescent="0.25">
      <c r="A119">
        <v>1752062</v>
      </c>
      <c r="B119" t="s">
        <v>30</v>
      </c>
      <c r="C119" t="s">
        <v>268</v>
      </c>
      <c r="D119" t="s">
        <v>744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s="5">
        <v>1254.721088</v>
      </c>
      <c r="K119" t="s">
        <v>27</v>
      </c>
      <c r="L119" s="5">
        <v>4028.89375827</v>
      </c>
      <c r="M119" t="s">
        <v>269</v>
      </c>
      <c r="N119" s="12">
        <v>154</v>
      </c>
      <c r="O119">
        <v>8</v>
      </c>
      <c r="P119" t="s">
        <v>204</v>
      </c>
      <c r="Q119" s="5">
        <v>1722</v>
      </c>
      <c r="R119" s="5">
        <v>1718.9678905599999</v>
      </c>
      <c r="S119" s="10">
        <v>3424.5596945295001</v>
      </c>
      <c r="T119" s="8">
        <v>0.52093987363669014</v>
      </c>
      <c r="U119" s="5">
        <v>527382.19295754307</v>
      </c>
      <c r="V119" s="5">
        <v>274734.41295754298</v>
      </c>
      <c r="W119" s="5">
        <v>0</v>
      </c>
      <c r="X119" s="5"/>
    </row>
    <row r="120" spans="1:44" x14ac:dyDescent="0.25">
      <c r="A120">
        <v>163772</v>
      </c>
      <c r="B120" t="s">
        <v>20</v>
      </c>
      <c r="C120" t="s">
        <v>270</v>
      </c>
      <c r="D120" t="s">
        <v>785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s="5">
        <v>1461.2640839999999</v>
      </c>
      <c r="K120" t="s">
        <v>27</v>
      </c>
      <c r="L120" s="5">
        <v>4747.5031727400001</v>
      </c>
      <c r="M120" t="s">
        <v>271</v>
      </c>
      <c r="N120" s="12">
        <v>152</v>
      </c>
      <c r="O120">
        <v>5</v>
      </c>
      <c r="P120" t="s">
        <v>204</v>
      </c>
      <c r="Q120" s="5">
        <v>2188</v>
      </c>
      <c r="R120" s="5">
        <v>2001.93179508</v>
      </c>
      <c r="S120" s="10">
        <v>4035.3776968289999</v>
      </c>
      <c r="T120" s="8">
        <v>0.47974138786321291</v>
      </c>
      <c r="U120" s="5">
        <v>613377.40991800802</v>
      </c>
      <c r="V120" s="5">
        <v>294262.52991800802</v>
      </c>
      <c r="W120" s="5">
        <v>0</v>
      </c>
    </row>
    <row r="121" spans="1:44" x14ac:dyDescent="0.25">
      <c r="A121">
        <v>1774894</v>
      </c>
      <c r="B121" t="s">
        <v>20</v>
      </c>
      <c r="C121" t="s">
        <v>272</v>
      </c>
      <c r="D121" t="s">
        <v>744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s="5">
        <v>1614.2384420000001</v>
      </c>
      <c r="K121" t="s">
        <v>27</v>
      </c>
      <c r="L121" s="5">
        <v>5183.1443998200002</v>
      </c>
      <c r="M121" t="s">
        <v>273</v>
      </c>
      <c r="N121" s="12">
        <v>151</v>
      </c>
      <c r="O121">
        <v>11</v>
      </c>
      <c r="P121" t="s">
        <v>204</v>
      </c>
      <c r="Q121" s="5">
        <v>2361</v>
      </c>
      <c r="R121" s="5">
        <v>2211.5066655400001</v>
      </c>
      <c r="S121" s="10">
        <v>4405.6727398470002</v>
      </c>
      <c r="T121" s="8">
        <v>0.48922092324460681</v>
      </c>
      <c r="U121" s="5">
        <v>665256.58371689706</v>
      </c>
      <c r="V121" s="5">
        <v>325457.44008053339</v>
      </c>
      <c r="W121" s="5">
        <v>0</v>
      </c>
      <c r="X121" s="5"/>
    </row>
    <row r="122" spans="1:44" x14ac:dyDescent="0.25">
      <c r="A122">
        <v>163774</v>
      </c>
      <c r="B122" t="s">
        <v>20</v>
      </c>
      <c r="C122" t="s">
        <v>274</v>
      </c>
      <c r="D122" t="s">
        <v>744</v>
      </c>
      <c r="E122" t="s">
        <v>22</v>
      </c>
      <c r="F122" t="s">
        <v>23</v>
      </c>
      <c r="G122" t="s">
        <v>24</v>
      </c>
      <c r="H122" t="s">
        <v>25</v>
      </c>
      <c r="I122" t="s">
        <v>26</v>
      </c>
      <c r="J122" s="5">
        <v>1544.1021840000001</v>
      </c>
      <c r="K122" t="s">
        <v>27</v>
      </c>
      <c r="L122" s="5">
        <v>4063.8046395000001</v>
      </c>
      <c r="M122" t="s">
        <v>275</v>
      </c>
      <c r="N122" s="12">
        <v>150</v>
      </c>
      <c r="O122">
        <v>13</v>
      </c>
      <c r="P122" t="s">
        <v>204</v>
      </c>
      <c r="Q122" s="5">
        <v>2190</v>
      </c>
      <c r="R122" s="5">
        <v>2115.4199920800002</v>
      </c>
      <c r="S122" s="10">
        <v>3454.233943575</v>
      </c>
      <c r="T122" s="8">
        <v>0.41285235265962311</v>
      </c>
      <c r="U122" s="5">
        <v>518135.09153624991</v>
      </c>
      <c r="V122" s="5">
        <v>213913.29153624989</v>
      </c>
      <c r="W122" s="5">
        <v>3599.1</v>
      </c>
      <c r="X122" s="8">
        <f>1-(S122/W122)</f>
        <v>4.0250633887638498E-2</v>
      </c>
      <c r="AB122">
        <f>A122</f>
        <v>163774</v>
      </c>
      <c r="AC122">
        <f>IFERROR(IF(OR(NOT(ISNUMBER(S122)),NOT(ISNUMBER(W122))),"",IF(OR(S122&lt;=0,W122&lt;=0),"",(1-S122/W122)*100)),"")</f>
        <v>4.0250633887638498</v>
      </c>
      <c r="AD122">
        <f>IF(AC122="","",(MAX(S122,W122)/MIN(S122,W122)-1)*100)</f>
        <v>4.1938692859658788</v>
      </c>
      <c r="AE122">
        <f>IF(AC122="","",ABS(W122-S122))</f>
        <v>144.8660564249999</v>
      </c>
      <c r="AF122">
        <f>IF(AC122="","",IF(AND(AE122&lt;MAX(Расч!$B$11,S122*Расч!$B$12),IF(AD122&lt;Расч!$B$7,0,IF(AD122&lt;Расч!$B$8,1,IF(AD122&lt;Расч!$B$9,2,IF(AD122&lt;Расч!$B$10,3,4))))&gt;1),1,IF(AD122&lt;Расч!$B$7,0,IF(AD122&lt;Расч!$B$8,1,IF(AD122&lt;Расч!$B$9,2,IF(AD122&lt;Расч!$B$10,3,4))))))</f>
        <v>0</v>
      </c>
      <c r="AK122">
        <f>IF(AC122="","",AC122)</f>
        <v>4.0250633887638498</v>
      </c>
      <c r="AL122">
        <f>IF(AE122="","",AE122)</f>
        <v>144.8660564249999</v>
      </c>
      <c r="AM122">
        <f>IF(AF122="","",AF122)</f>
        <v>0</v>
      </c>
      <c r="AN122" t="str">
        <f>IF(AM122="","нет данных",CHOOSE(AM122+1,"Норма","Лёгкое отклонение","Заметный разброс","Выброс","Экстремальный выброс"))</f>
        <v>Норма</v>
      </c>
      <c r="AO122">
        <f>IF(OR(AC122="",NOT(ISNUMBER(N122))),0,MAX(N122,0))</f>
        <v>150</v>
      </c>
      <c r="AP122">
        <f>IF(AC122="",0,AC122*AO122)</f>
        <v>603.75950831457749</v>
      </c>
      <c r="AQ122">
        <f>IF(OR(AC122="",NOT(ISNUMBER(O122))),0,MAX(O122,0)*S122)</f>
        <v>44905.041266475004</v>
      </c>
      <c r="AR122">
        <f>IF(AC122="",0,AC122*AQ122)</f>
        <v>180745.63757261841</v>
      </c>
    </row>
    <row r="123" spans="1:44" x14ac:dyDescent="0.25">
      <c r="A123">
        <v>1752066</v>
      </c>
      <c r="B123" t="s">
        <v>30</v>
      </c>
      <c r="C123" t="s">
        <v>276</v>
      </c>
      <c r="D123" t="s">
        <v>744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s="5">
        <v>1826.8562320000001</v>
      </c>
      <c r="K123" t="s">
        <v>27</v>
      </c>
      <c r="L123" s="5">
        <v>5864.6000073900004</v>
      </c>
      <c r="M123" t="s">
        <v>277</v>
      </c>
      <c r="N123" s="12">
        <v>149</v>
      </c>
      <c r="O123">
        <v>2</v>
      </c>
      <c r="P123" t="s">
        <v>204</v>
      </c>
      <c r="Q123" s="5">
        <v>2668</v>
      </c>
      <c r="R123" s="5">
        <v>2502.7930378400001</v>
      </c>
      <c r="S123" s="10">
        <v>4984.9100062814996</v>
      </c>
      <c r="T123" s="8">
        <v>0.49792613413557651</v>
      </c>
      <c r="U123" s="5">
        <v>742751.59093594342</v>
      </c>
      <c r="V123" s="5">
        <v>369835.42829778342</v>
      </c>
      <c r="W123" s="5">
        <v>0</v>
      </c>
      <c r="X123" s="5"/>
    </row>
    <row r="124" spans="1:44" x14ac:dyDescent="0.25">
      <c r="A124">
        <v>170253</v>
      </c>
      <c r="B124" t="s">
        <v>20</v>
      </c>
      <c r="C124" t="s">
        <v>278</v>
      </c>
      <c r="D124" t="s">
        <v>740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s="5">
        <v>1651.23946</v>
      </c>
      <c r="K124" t="s">
        <v>27</v>
      </c>
      <c r="L124" s="5">
        <v>5958.8713718099998</v>
      </c>
      <c r="M124" t="s">
        <v>279</v>
      </c>
      <c r="N124" s="12">
        <v>149</v>
      </c>
      <c r="O124">
        <v>2</v>
      </c>
      <c r="P124" t="s">
        <v>204</v>
      </c>
      <c r="Q124" s="5">
        <v>2412</v>
      </c>
      <c r="R124" s="5">
        <v>2262.1980601999999</v>
      </c>
      <c r="S124" s="10">
        <v>5065.0406660384997</v>
      </c>
      <c r="T124" s="8">
        <v>0.54289409450865755</v>
      </c>
      <c r="U124" s="5">
        <v>754691.05923973641</v>
      </c>
      <c r="V124" s="5">
        <v>409717.31923973642</v>
      </c>
      <c r="W124" s="5">
        <v>0</v>
      </c>
      <c r="X124" s="5"/>
    </row>
    <row r="125" spans="1:44" x14ac:dyDescent="0.25">
      <c r="A125">
        <v>130888</v>
      </c>
      <c r="B125" t="s">
        <v>30</v>
      </c>
      <c r="C125" t="s">
        <v>280</v>
      </c>
      <c r="D125" t="s">
        <v>786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s="5">
        <v>1223.24261</v>
      </c>
      <c r="K125" t="s">
        <v>27</v>
      </c>
      <c r="L125" s="5">
        <v>3927.5854285800001</v>
      </c>
      <c r="M125" t="s">
        <v>281</v>
      </c>
      <c r="N125" s="12">
        <v>148</v>
      </c>
      <c r="O125">
        <v>29</v>
      </c>
      <c r="P125" t="s">
        <v>204</v>
      </c>
      <c r="Q125" s="5">
        <v>1721</v>
      </c>
      <c r="R125" s="5">
        <v>1675.8423757</v>
      </c>
      <c r="S125" s="10">
        <v>3338.4476142929998</v>
      </c>
      <c r="T125" s="8">
        <v>0.4884328893800306</v>
      </c>
      <c r="U125" s="5">
        <v>494090.24691536388</v>
      </c>
      <c r="V125" s="5">
        <v>241329.92691536399</v>
      </c>
      <c r="W125" s="5">
        <v>0</v>
      </c>
      <c r="X125" s="5"/>
    </row>
    <row r="126" spans="1:44" x14ac:dyDescent="0.25">
      <c r="A126">
        <v>170268</v>
      </c>
      <c r="B126" t="s">
        <v>30</v>
      </c>
      <c r="C126" t="s">
        <v>282</v>
      </c>
      <c r="D126" t="s">
        <v>744</v>
      </c>
      <c r="E126" t="s">
        <v>22</v>
      </c>
      <c r="F126" t="s">
        <v>23</v>
      </c>
      <c r="G126" t="s">
        <v>24</v>
      </c>
      <c r="H126" t="s">
        <v>25</v>
      </c>
      <c r="I126" t="s">
        <v>26</v>
      </c>
      <c r="J126" s="5">
        <v>1714.196416</v>
      </c>
      <c r="K126" t="s">
        <v>27</v>
      </c>
      <c r="L126" s="5">
        <v>5503.0266921299999</v>
      </c>
      <c r="M126" t="s">
        <v>283</v>
      </c>
      <c r="N126" s="12">
        <v>146</v>
      </c>
      <c r="O126">
        <v>42</v>
      </c>
      <c r="P126" t="s">
        <v>204</v>
      </c>
      <c r="Q126" s="5">
        <v>2369</v>
      </c>
      <c r="R126" s="5">
        <v>2348.44908992</v>
      </c>
      <c r="S126" s="10">
        <v>4677.5726883104999</v>
      </c>
      <c r="T126" s="8">
        <v>0.51702350821729026</v>
      </c>
      <c r="U126" s="5">
        <v>682925.61249333294</v>
      </c>
      <c r="V126" s="5">
        <v>353088.59602274472</v>
      </c>
      <c r="W126" s="5">
        <v>0</v>
      </c>
      <c r="X126" s="5"/>
    </row>
    <row r="127" spans="1:44" x14ac:dyDescent="0.25">
      <c r="A127">
        <v>163779</v>
      </c>
      <c r="B127" t="s">
        <v>20</v>
      </c>
      <c r="C127" t="s">
        <v>284</v>
      </c>
      <c r="D127">
        <v>9918510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s="5">
        <v>1467.891132</v>
      </c>
      <c r="K127" t="s">
        <v>27</v>
      </c>
      <c r="L127" s="5">
        <v>4958.0299974600002</v>
      </c>
      <c r="M127" t="s">
        <v>285</v>
      </c>
      <c r="N127" s="12">
        <v>133</v>
      </c>
      <c r="O127">
        <v>16</v>
      </c>
      <c r="P127" t="s">
        <v>204</v>
      </c>
      <c r="Q127" s="5">
        <v>1953</v>
      </c>
      <c r="R127" s="5">
        <v>2011.0108508400001</v>
      </c>
      <c r="S127" s="10">
        <v>4214.3254978409996</v>
      </c>
      <c r="T127" s="8">
        <v>0.53927028156825685</v>
      </c>
      <c r="U127" s="5">
        <v>560505.29121285304</v>
      </c>
      <c r="V127" s="5">
        <v>302263.84621285298</v>
      </c>
      <c r="W127" s="5">
        <v>2859.4</v>
      </c>
      <c r="X127" s="8">
        <f>1-(S127/W127)</f>
        <v>-0.47384958307372149</v>
      </c>
      <c r="AB127">
        <f>A127</f>
        <v>163779</v>
      </c>
      <c r="AC127">
        <f>IFERROR(IF(OR(NOT(ISNUMBER(S127)),NOT(ISNUMBER(W127))),"",IF(OR(S127&lt;=0,W127&lt;=0),"",(1-S127/W127)*100)),"")</f>
        <v>-47.384958307372152</v>
      </c>
      <c r="AD127">
        <f>IF(AC127="","",(MAX(S127,W127)/MIN(S127,W127)-1)*100)</f>
        <v>47.384958307372152</v>
      </c>
      <c r="AE127">
        <f>IF(AC127="","",ABS(W127-S127))</f>
        <v>1354.9254978409995</v>
      </c>
      <c r="AF127">
        <f>IF(AC127="","",IF(AND(AE127&lt;MAX(Расч!$B$11,S127*Расч!$B$12),IF(AD127&lt;Расч!$B$7,0,IF(AD127&lt;Расч!$B$8,1,IF(AD127&lt;Расч!$B$9,2,IF(AD127&lt;Расч!$B$10,3,4))))&gt;1),1,IF(AD127&lt;Расч!$B$7,0,IF(AD127&lt;Расч!$B$8,1,IF(AD127&lt;Расч!$B$9,2,IF(AD127&lt;Расч!$B$10,3,4))))))</f>
        <v>2</v>
      </c>
      <c r="AK127">
        <f>IF(AC127="","",AC127)</f>
        <v>-47.384958307372152</v>
      </c>
      <c r="AL127">
        <f>IF(AE127="","",AE127)</f>
        <v>1354.9254978409995</v>
      </c>
      <c r="AM127">
        <f>IF(AF127="","",AF127)</f>
        <v>2</v>
      </c>
      <c r="AN127" t="str">
        <f>IF(AM127="","нет данных",CHOOSE(AM127+1,"Норма","Лёгкое отклонение","Заметный разброс","Выброс","Экстремальный выброс"))</f>
        <v>Заметный разброс</v>
      </c>
      <c r="AO127">
        <f>IF(OR(AC127="",NOT(ISNUMBER(N127))),0,MAX(N127,0))</f>
        <v>133</v>
      </c>
      <c r="AP127">
        <f>IF(AC127="",0,AC127*AO127)</f>
        <v>-6302.199454880496</v>
      </c>
      <c r="AQ127">
        <f>IF(OR(AC127="",NOT(ISNUMBER(O127))),0,MAX(O127,0)*S127)</f>
        <v>67429.207965455993</v>
      </c>
      <c r="AR127">
        <f>IF(AC127="",0,AC127*AQ127)</f>
        <v>-3195130.2081422582</v>
      </c>
    </row>
    <row r="128" spans="1:44" x14ac:dyDescent="0.25">
      <c r="A128">
        <v>130937</v>
      </c>
      <c r="B128" t="s">
        <v>20</v>
      </c>
      <c r="C128" t="s">
        <v>286</v>
      </c>
      <c r="D128" t="s">
        <v>787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s="5">
        <v>1335.9024260000001</v>
      </c>
      <c r="K128" t="s">
        <v>27</v>
      </c>
      <c r="L128" s="5">
        <v>4289.1929869799997</v>
      </c>
      <c r="M128" t="s">
        <v>287</v>
      </c>
      <c r="N128" s="12">
        <v>130</v>
      </c>
      <c r="O128">
        <v>12</v>
      </c>
      <c r="P128" t="s">
        <v>204</v>
      </c>
      <c r="Q128" s="5">
        <v>1931</v>
      </c>
      <c r="R128" s="5">
        <v>1830.1863236199999</v>
      </c>
      <c r="S128" s="10">
        <v>3645.8140389330001</v>
      </c>
      <c r="T128" s="8">
        <v>0.49452441064730152</v>
      </c>
      <c r="U128" s="5">
        <v>473955.82506128988</v>
      </c>
      <c r="V128" s="5">
        <v>234382.72506128991</v>
      </c>
      <c r="W128" s="5">
        <v>0</v>
      </c>
      <c r="X128" s="5"/>
    </row>
    <row r="129" spans="1:44" x14ac:dyDescent="0.25">
      <c r="A129">
        <v>163773</v>
      </c>
      <c r="B129" t="s">
        <v>20</v>
      </c>
      <c r="C129" t="s">
        <v>288</v>
      </c>
      <c r="D129" t="s">
        <v>788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s="5">
        <v>1961.053954</v>
      </c>
      <c r="K129" t="s">
        <v>27</v>
      </c>
      <c r="L129" s="5">
        <v>6538.8987986999991</v>
      </c>
      <c r="M129" t="s">
        <v>289</v>
      </c>
      <c r="N129" s="12">
        <v>129</v>
      </c>
      <c r="O129">
        <v>10</v>
      </c>
      <c r="P129" t="s">
        <v>204</v>
      </c>
      <c r="Q129" s="5">
        <v>2912</v>
      </c>
      <c r="R129" s="5">
        <v>2686.6439169800001</v>
      </c>
      <c r="S129" s="10">
        <v>5558.0639788949993</v>
      </c>
      <c r="T129" s="8">
        <v>0.50156223272716371</v>
      </c>
      <c r="U129" s="5">
        <v>716990.25327745487</v>
      </c>
      <c r="V129" s="5">
        <v>359615.23227745492</v>
      </c>
      <c r="W129" s="5">
        <v>4669</v>
      </c>
      <c r="X129" s="8">
        <f>1-(S129/W129)</f>
        <v>-0.19041850051295772</v>
      </c>
      <c r="AB129">
        <f>A129</f>
        <v>163773</v>
      </c>
      <c r="AC129">
        <f>IFERROR(IF(OR(NOT(ISNUMBER(S129)),NOT(ISNUMBER(W129))),"",IF(OR(S129&lt;=0,W129&lt;=0),"",(1-S129/W129)*100)),"")</f>
        <v>-19.041850051295771</v>
      </c>
      <c r="AD129">
        <f>IF(AC129="","",(MAX(S129,W129)/MIN(S129,W129)-1)*100)</f>
        <v>19.041850051295771</v>
      </c>
      <c r="AE129">
        <f>IF(AC129="","",ABS(W129-S129))</f>
        <v>889.06397889499931</v>
      </c>
      <c r="AF129">
        <f>IF(AC129="","",IF(AND(AE129&lt;MAX(Расч!$B$11,S129*Расч!$B$12),IF(AD129&lt;Расч!$B$7,0,IF(AD129&lt;Расч!$B$8,1,IF(AD129&lt;Расч!$B$9,2,IF(AD129&lt;Расч!$B$10,3,4))))&gt;1),1,IF(AD129&lt;Расч!$B$7,0,IF(AD129&lt;Расч!$B$8,1,IF(AD129&lt;Расч!$B$9,2,IF(AD129&lt;Расч!$B$10,3,4))))))</f>
        <v>0</v>
      </c>
      <c r="AK129">
        <f>IF(AC129="","",AC129)</f>
        <v>-19.041850051295771</v>
      </c>
      <c r="AL129">
        <f>IF(AE129="","",AE129)</f>
        <v>889.06397889499931</v>
      </c>
      <c r="AM129">
        <f>IF(AF129="","",AF129)</f>
        <v>0</v>
      </c>
      <c r="AN129" t="str">
        <f>IF(AM129="","нет данных",CHOOSE(AM129+1,"Норма","Лёгкое отклонение","Заметный разброс","Выброс","Экстремальный выброс"))</f>
        <v>Норма</v>
      </c>
      <c r="AO129">
        <f>IF(OR(AC129="",NOT(ISNUMBER(N129))),0,MAX(N129,0))</f>
        <v>129</v>
      </c>
      <c r="AP129">
        <f>IF(AC129="",0,AC129*AO129)</f>
        <v>-2456.3986566171543</v>
      </c>
      <c r="AQ129">
        <f>IF(OR(AC129="",NOT(ISNUMBER(O129))),0,MAX(O129,0)*S129)</f>
        <v>55580.639788949993</v>
      </c>
      <c r="AR129">
        <f>IF(AC129="",0,AC129*AQ129)</f>
        <v>-1058358.2086162693</v>
      </c>
    </row>
    <row r="130" spans="1:44" x14ac:dyDescent="0.25">
      <c r="A130">
        <v>1859652</v>
      </c>
      <c r="B130" t="s">
        <v>30</v>
      </c>
      <c r="C130" t="s">
        <v>290</v>
      </c>
      <c r="D130" t="s">
        <v>744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s="5">
        <v>1295.0356300000001</v>
      </c>
      <c r="K130" t="s">
        <v>27</v>
      </c>
      <c r="L130" s="5">
        <v>4082.5527586499989</v>
      </c>
      <c r="M130" t="s">
        <v>291</v>
      </c>
      <c r="N130" s="12">
        <v>128</v>
      </c>
      <c r="O130">
        <v>16</v>
      </c>
      <c r="P130" t="s">
        <v>204</v>
      </c>
      <c r="Q130" s="5">
        <v>1878</v>
      </c>
      <c r="R130" s="5">
        <v>1774.1988131000001</v>
      </c>
      <c r="S130" s="10">
        <v>3470.169844852499</v>
      </c>
      <c r="T130" s="8">
        <v>0.48259037280908529</v>
      </c>
      <c r="U130" s="5">
        <v>444181.74014111992</v>
      </c>
      <c r="V130" s="5">
        <v>214357.83156969131</v>
      </c>
      <c r="W130" s="5">
        <v>0</v>
      </c>
      <c r="X130" s="5"/>
    </row>
    <row r="131" spans="1:44" x14ac:dyDescent="0.25">
      <c r="A131">
        <v>163787</v>
      </c>
      <c r="B131" t="s">
        <v>30</v>
      </c>
      <c r="C131" t="s">
        <v>292</v>
      </c>
      <c r="D131" t="s">
        <v>744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s="5">
        <v>1692.106256</v>
      </c>
      <c r="K131" t="s">
        <v>27</v>
      </c>
      <c r="L131" s="5">
        <v>5431.50989424</v>
      </c>
      <c r="M131" t="s">
        <v>293</v>
      </c>
      <c r="N131" s="12">
        <v>124</v>
      </c>
      <c r="O131">
        <v>2</v>
      </c>
      <c r="P131" t="s">
        <v>204</v>
      </c>
      <c r="Q131" s="5">
        <v>2493</v>
      </c>
      <c r="R131" s="5">
        <v>2318.1855707200002</v>
      </c>
      <c r="S131" s="10">
        <v>4616.7834101039998</v>
      </c>
      <c r="T131" s="8">
        <v>0.47900479915608241</v>
      </c>
      <c r="U131" s="5">
        <v>572481.14285289601</v>
      </c>
      <c r="V131" s="5">
        <v>274221.214852896</v>
      </c>
      <c r="W131" s="5">
        <v>0</v>
      </c>
      <c r="X131" s="5"/>
    </row>
    <row r="132" spans="1:44" x14ac:dyDescent="0.25">
      <c r="A132">
        <v>1853613</v>
      </c>
      <c r="B132" t="s">
        <v>294</v>
      </c>
      <c r="C132" t="s">
        <v>295</v>
      </c>
      <c r="D132" t="s">
        <v>744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s="5">
        <v>1184.0325760000001</v>
      </c>
      <c r="K132" t="s">
        <v>27</v>
      </c>
      <c r="L132" s="5">
        <v>2560.2397268099999</v>
      </c>
      <c r="M132" t="s">
        <v>296</v>
      </c>
      <c r="N132" s="12">
        <v>124</v>
      </c>
      <c r="O132">
        <v>0</v>
      </c>
      <c r="P132" t="s">
        <v>204</v>
      </c>
      <c r="Q132" s="5">
        <v>0</v>
      </c>
      <c r="R132" s="5">
        <v>1622.12462912</v>
      </c>
      <c r="S132" s="10">
        <v>2176.2037677885</v>
      </c>
      <c r="T132" s="8">
        <v>0.25460811476839118</v>
      </c>
      <c r="U132" s="5">
        <v>269849.26720577403</v>
      </c>
      <c r="V132" s="5">
        <v>68705.81319489397</v>
      </c>
      <c r="W132" s="5">
        <v>0</v>
      </c>
    </row>
    <row r="133" spans="1:44" x14ac:dyDescent="0.25">
      <c r="A133">
        <v>163771</v>
      </c>
      <c r="B133" t="s">
        <v>20</v>
      </c>
      <c r="C133" t="s">
        <v>297</v>
      </c>
      <c r="D133" t="s">
        <v>744</v>
      </c>
      <c r="E133" t="s">
        <v>22</v>
      </c>
      <c r="F133" t="s">
        <v>23</v>
      </c>
      <c r="G133" t="s">
        <v>24</v>
      </c>
      <c r="H133" t="s">
        <v>25</v>
      </c>
      <c r="I133" t="s">
        <v>26</v>
      </c>
      <c r="J133" s="5">
        <v>1876.006838</v>
      </c>
      <c r="K133" t="s">
        <v>27</v>
      </c>
      <c r="L133" s="5">
        <v>6804.6426866699994</v>
      </c>
      <c r="M133" t="s">
        <v>298</v>
      </c>
      <c r="N133" s="12">
        <v>120</v>
      </c>
      <c r="O133">
        <v>8</v>
      </c>
      <c r="P133" t="s">
        <v>204</v>
      </c>
      <c r="Q133" s="5">
        <v>2746</v>
      </c>
      <c r="R133" s="5">
        <v>2570.1293680600002</v>
      </c>
      <c r="S133" s="10">
        <v>5783.9462836694993</v>
      </c>
      <c r="T133" s="8">
        <v>0.54441247882263832</v>
      </c>
      <c r="U133" s="5">
        <v>694073.55404033989</v>
      </c>
      <c r="V133" s="5">
        <v>377862.30404033978</v>
      </c>
      <c r="W133" s="5">
        <v>0</v>
      </c>
      <c r="X133" s="5"/>
    </row>
    <row r="134" spans="1:44" x14ac:dyDescent="0.25">
      <c r="A134">
        <v>130920</v>
      </c>
      <c r="B134" t="s">
        <v>20</v>
      </c>
      <c r="C134" t="s">
        <v>299</v>
      </c>
      <c r="D134" t="s">
        <v>789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s="5">
        <v>1510.966944</v>
      </c>
      <c r="K134" t="s">
        <v>27</v>
      </c>
      <c r="L134" s="5">
        <v>5174.5493716799992</v>
      </c>
      <c r="M134" t="s">
        <v>300</v>
      </c>
      <c r="N134" s="12">
        <v>120</v>
      </c>
      <c r="O134">
        <v>0</v>
      </c>
      <c r="P134" t="s">
        <v>204</v>
      </c>
      <c r="Q134" s="5">
        <v>0</v>
      </c>
      <c r="R134" s="5">
        <v>2070.02471328</v>
      </c>
      <c r="S134" s="10">
        <v>4398.3669659279994</v>
      </c>
      <c r="T134" s="8">
        <v>0.54805499054565687</v>
      </c>
      <c r="U134" s="5">
        <v>527804.03591135994</v>
      </c>
      <c r="V134" s="5">
        <v>289265.63591135992</v>
      </c>
      <c r="W134" s="5">
        <v>0</v>
      </c>
      <c r="X134" s="5"/>
    </row>
    <row r="135" spans="1:44" x14ac:dyDescent="0.25">
      <c r="A135">
        <v>1853658</v>
      </c>
      <c r="B135" t="s">
        <v>252</v>
      </c>
      <c r="C135" t="s">
        <v>301</v>
      </c>
      <c r="D135" t="s">
        <v>744</v>
      </c>
      <c r="E135" t="s">
        <v>22</v>
      </c>
      <c r="F135" t="s">
        <v>23</v>
      </c>
      <c r="G135" t="s">
        <v>24</v>
      </c>
      <c r="H135" t="s">
        <v>25</v>
      </c>
      <c r="I135" t="s">
        <v>26</v>
      </c>
      <c r="J135" s="5">
        <v>1410.4567159999999</v>
      </c>
      <c r="K135" t="s">
        <v>27</v>
      </c>
      <c r="L135" s="5">
        <v>3093.9704284200002</v>
      </c>
      <c r="M135" t="s">
        <v>302</v>
      </c>
      <c r="N135" s="12">
        <v>118</v>
      </c>
      <c r="O135">
        <v>0</v>
      </c>
      <c r="P135" t="s">
        <v>204</v>
      </c>
      <c r="Q135" s="5">
        <v>0</v>
      </c>
      <c r="R135" s="5">
        <v>1932.3257009199999</v>
      </c>
      <c r="S135" s="10">
        <v>2629.874864157</v>
      </c>
      <c r="T135" s="8">
        <v>0.26524043890605309</v>
      </c>
      <c r="U135" s="5">
        <v>310325.23397052602</v>
      </c>
      <c r="V135" s="5">
        <v>82310.801261965928</v>
      </c>
      <c r="W135" s="5">
        <v>3248.7</v>
      </c>
      <c r="X135" s="8">
        <f>1-(S135/W135)</f>
        <v>0.19048392767660904</v>
      </c>
      <c r="AB135">
        <f>A135</f>
        <v>1853658</v>
      </c>
      <c r="AC135">
        <f>IFERROR(IF(OR(NOT(ISNUMBER(S135)),NOT(ISNUMBER(W135))),"",IF(OR(S135&lt;=0,W135&lt;=0),"",(1-S135/W135)*100)),"")</f>
        <v>19.048392767660904</v>
      </c>
      <c r="AD135">
        <f>IF(AC135="","",(MAX(S135,W135)/MIN(S135,W135)-1)*100)</f>
        <v>23.53059243529303</v>
      </c>
      <c r="AE135">
        <f>IF(AC135="","",ABS(W135-S135))</f>
        <v>618.82513584299977</v>
      </c>
      <c r="AF135">
        <f>IF(AC135="","",IF(AND(AE135&lt;MAX(Расч!$B$11,S135*Расч!$B$12),IF(AD135&lt;Расч!$B$7,0,IF(AD135&lt;Расч!$B$8,1,IF(AD135&lt;Расч!$B$9,2,IF(AD135&lt;Расч!$B$10,3,4))))&gt;1),1,IF(AD135&lt;Расч!$B$7,0,IF(AD135&lt;Расч!$B$8,1,IF(AD135&lt;Расч!$B$9,2,IF(AD135&lt;Расч!$B$10,3,4))))))</f>
        <v>0</v>
      </c>
      <c r="AK135">
        <f>IF(AC135="","",AC135)</f>
        <v>19.048392767660904</v>
      </c>
      <c r="AL135">
        <f>IF(AE135="","",AE135)</f>
        <v>618.82513584299977</v>
      </c>
      <c r="AM135">
        <f>IF(AF135="","",AF135)</f>
        <v>0</v>
      </c>
      <c r="AN135" t="str">
        <f>IF(AM135="","нет данных",CHOOSE(AM135+1,"Норма","Лёгкое отклонение","Заметный разброс","Выброс","Экстремальный выброс"))</f>
        <v>Норма</v>
      </c>
      <c r="AO135">
        <f>IF(OR(AC135="",NOT(ISNUMBER(N135))),0,MAX(N135,0))</f>
        <v>118</v>
      </c>
      <c r="AP135">
        <f>IF(AC135="",0,AC135*AO135)</f>
        <v>2247.7103465839864</v>
      </c>
      <c r="AQ135">
        <f>IF(OR(AC135="",NOT(ISNUMBER(O135))),0,MAX(O135,0)*S135)</f>
        <v>0</v>
      </c>
      <c r="AR135">
        <f>IF(AC135="",0,AC135*AQ135)</f>
        <v>0</v>
      </c>
    </row>
    <row r="136" spans="1:44" x14ac:dyDescent="0.25">
      <c r="A136">
        <v>1859654</v>
      </c>
      <c r="B136" t="s">
        <v>20</v>
      </c>
      <c r="C136" t="s">
        <v>303</v>
      </c>
      <c r="D136" t="s">
        <v>744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 s="5">
        <v>2170.3582200000001</v>
      </c>
      <c r="K136" t="s">
        <v>27</v>
      </c>
      <c r="L136" s="5">
        <v>6306.8844036299997</v>
      </c>
      <c r="M136" t="s">
        <v>304</v>
      </c>
      <c r="N136" s="12">
        <v>118</v>
      </c>
      <c r="O136">
        <v>0</v>
      </c>
      <c r="P136" t="s">
        <v>204</v>
      </c>
      <c r="Q136" s="5">
        <v>0</v>
      </c>
      <c r="R136" s="5">
        <v>2973.3907614</v>
      </c>
      <c r="S136" s="10">
        <v>5360.8517430854999</v>
      </c>
      <c r="T136" s="8">
        <v>0.44535105541108821</v>
      </c>
      <c r="U136" s="5">
        <v>632580.50568408903</v>
      </c>
      <c r="V136" s="5">
        <v>281720.39583888889</v>
      </c>
      <c r="W136" s="5">
        <v>0</v>
      </c>
      <c r="X136" s="5"/>
    </row>
    <row r="137" spans="1:44" x14ac:dyDescent="0.25">
      <c r="A137">
        <v>130949</v>
      </c>
      <c r="B137" t="s">
        <v>20</v>
      </c>
      <c r="C137" t="s">
        <v>305</v>
      </c>
      <c r="D137" t="s">
        <v>790</v>
      </c>
      <c r="E137" t="s">
        <v>22</v>
      </c>
      <c r="F137" t="s">
        <v>23</v>
      </c>
      <c r="G137" t="s">
        <v>24</v>
      </c>
      <c r="H137" t="s">
        <v>25</v>
      </c>
      <c r="I137" t="s">
        <v>26</v>
      </c>
      <c r="J137" s="5">
        <v>1554.59501</v>
      </c>
      <c r="K137" t="s">
        <v>27</v>
      </c>
      <c r="L137" s="5">
        <v>4990.4753726099998</v>
      </c>
      <c r="M137" t="s">
        <v>306</v>
      </c>
      <c r="N137" s="12">
        <v>114</v>
      </c>
      <c r="O137">
        <v>10</v>
      </c>
      <c r="P137" t="s">
        <v>204</v>
      </c>
      <c r="Q137" s="5">
        <v>2171</v>
      </c>
      <c r="R137" s="5">
        <v>2129.7951637000001</v>
      </c>
      <c r="S137" s="10">
        <v>4241.9040667185</v>
      </c>
      <c r="T137" s="8">
        <v>0.47996780880215612</v>
      </c>
      <c r="U137" s="5">
        <v>483577.063605909</v>
      </c>
      <c r="V137" s="5">
        <v>232101.42360590899</v>
      </c>
      <c r="W137" s="5">
        <v>3406.8</v>
      </c>
      <c r="X137" s="8">
        <f>1-(S137/W137)</f>
        <v>-0.24512858598053877</v>
      </c>
      <c r="AB137">
        <f>A137</f>
        <v>130949</v>
      </c>
      <c r="AC137">
        <f>IFERROR(IF(OR(NOT(ISNUMBER(S137)),NOT(ISNUMBER(W137))),"",IF(OR(S137&lt;=0,W137&lt;=0),"",(1-S137/W137)*100)),"")</f>
        <v>-24.512858598053878</v>
      </c>
      <c r="AD137">
        <f>IF(AC137="","",(MAX(S137,W137)/MIN(S137,W137)-1)*100)</f>
        <v>24.512858598053878</v>
      </c>
      <c r="AE137">
        <f>IF(AC137="","",ABS(W137-S137))</f>
        <v>835.10406671849978</v>
      </c>
      <c r="AF137">
        <f>IF(AC137="","",IF(AND(AE137&lt;MAX(Расч!$B$11,S137*Расч!$B$12),IF(AD137&lt;Расч!$B$7,0,IF(AD137&lt;Расч!$B$8,1,IF(AD137&lt;Расч!$B$9,2,IF(AD137&lt;Расч!$B$10,3,4))))&gt;1),1,IF(AD137&lt;Расч!$B$7,0,IF(AD137&lt;Расч!$B$8,1,IF(AD137&lt;Расч!$B$9,2,IF(AD137&lt;Расч!$B$10,3,4))))))</f>
        <v>0</v>
      </c>
      <c r="AK137">
        <f>IF(AC137="","",AC137)</f>
        <v>-24.512858598053878</v>
      </c>
      <c r="AL137">
        <f>IF(AE137="","",AE137)</f>
        <v>835.10406671849978</v>
      </c>
      <c r="AM137">
        <f>IF(AF137="","",AF137)</f>
        <v>0</v>
      </c>
      <c r="AN137" t="str">
        <f>IF(AM137="","нет данных",CHOOSE(AM137+1,"Норма","Лёгкое отклонение","Заметный разброс","Выброс","Экстремальный выброс"))</f>
        <v>Норма</v>
      </c>
      <c r="AO137">
        <f>IF(OR(AC137="",NOT(ISNUMBER(N137))),0,MAX(N137,0))</f>
        <v>114</v>
      </c>
      <c r="AP137">
        <f>IF(AC137="",0,AC137*AO137)</f>
        <v>-2794.465880178142</v>
      </c>
      <c r="AQ137">
        <f>IF(OR(AC137="",NOT(ISNUMBER(O137))),0,MAX(O137,0)*S137)</f>
        <v>42419.040667185</v>
      </c>
      <c r="AR137">
        <f>IF(AC137="",0,AC137*AQ137)</f>
        <v>-1039811.9457398029</v>
      </c>
    </row>
    <row r="138" spans="1:44" x14ac:dyDescent="0.25">
      <c r="A138">
        <v>1859646</v>
      </c>
      <c r="B138" t="s">
        <v>20</v>
      </c>
      <c r="C138" t="s">
        <v>307</v>
      </c>
      <c r="D138" t="s">
        <v>744</v>
      </c>
      <c r="E138" t="s">
        <v>22</v>
      </c>
      <c r="F138" t="s">
        <v>23</v>
      </c>
      <c r="G138" t="s">
        <v>24</v>
      </c>
      <c r="H138" t="s">
        <v>25</v>
      </c>
      <c r="I138" t="s">
        <v>26</v>
      </c>
      <c r="J138" s="5">
        <v>1864.409504</v>
      </c>
      <c r="K138" t="s">
        <v>27</v>
      </c>
      <c r="L138" s="5">
        <v>5877.4754280299994</v>
      </c>
      <c r="M138" t="s">
        <v>308</v>
      </c>
      <c r="N138" s="12">
        <v>114</v>
      </c>
      <c r="O138">
        <v>8</v>
      </c>
      <c r="P138" t="s">
        <v>204</v>
      </c>
      <c r="Q138" s="5">
        <v>2547</v>
      </c>
      <c r="R138" s="5">
        <v>2554.2410204799999</v>
      </c>
      <c r="S138" s="10">
        <v>4995.8541138254996</v>
      </c>
      <c r="T138" s="8">
        <v>0.48686552057121529</v>
      </c>
      <c r="U138" s="5">
        <v>569527.36897610698</v>
      </c>
      <c r="V138" s="5">
        <v>277283.23897610698</v>
      </c>
      <c r="W138" s="5">
        <v>0</v>
      </c>
      <c r="X138" s="5"/>
    </row>
    <row r="139" spans="1:44" x14ac:dyDescent="0.25">
      <c r="A139">
        <v>1855007</v>
      </c>
      <c r="B139" t="s">
        <v>20</v>
      </c>
      <c r="C139" t="s">
        <v>309</v>
      </c>
      <c r="D139" t="s">
        <v>744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s="5">
        <v>1354.6790619999999</v>
      </c>
      <c r="K139" t="s">
        <v>27</v>
      </c>
      <c r="L139" s="5">
        <v>3477.0826787400001</v>
      </c>
      <c r="M139" t="s">
        <v>310</v>
      </c>
      <c r="N139" s="12">
        <v>112</v>
      </c>
      <c r="O139">
        <v>12</v>
      </c>
      <c r="P139" t="s">
        <v>204</v>
      </c>
      <c r="Q139" s="5">
        <v>1959</v>
      </c>
      <c r="R139" s="5">
        <v>1855.91031494</v>
      </c>
      <c r="S139" s="10">
        <v>2955.520276928999</v>
      </c>
      <c r="T139" s="8">
        <v>0.36619145717842061</v>
      </c>
      <c r="U139" s="5">
        <v>331018.27101604792</v>
      </c>
      <c r="V139" s="5">
        <v>121216.0630160479</v>
      </c>
      <c r="W139" s="5">
        <v>0</v>
      </c>
      <c r="X139" s="5"/>
    </row>
    <row r="140" spans="1:44" x14ac:dyDescent="0.25">
      <c r="A140">
        <v>1752067</v>
      </c>
      <c r="B140" t="s">
        <v>30</v>
      </c>
      <c r="C140" t="s">
        <v>311</v>
      </c>
      <c r="D140" t="s">
        <v>744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s="5">
        <v>1415.9792560000001</v>
      </c>
      <c r="K140" t="s">
        <v>27</v>
      </c>
      <c r="L140" s="5">
        <v>4547.4376272899999</v>
      </c>
      <c r="M140" t="s">
        <v>312</v>
      </c>
      <c r="N140" s="12">
        <v>108</v>
      </c>
      <c r="O140">
        <v>4</v>
      </c>
      <c r="P140" t="s">
        <v>204</v>
      </c>
      <c r="Q140" s="5">
        <v>1923</v>
      </c>
      <c r="R140" s="5">
        <v>1939.8915807200001</v>
      </c>
      <c r="S140" s="10">
        <v>3865.3219831964998</v>
      </c>
      <c r="T140" s="8">
        <v>0.52957605914726669</v>
      </c>
      <c r="U140" s="5">
        <v>417454.77418522199</v>
      </c>
      <c r="V140" s="5">
        <v>221074.05418522199</v>
      </c>
      <c r="W140" s="5">
        <v>2912.3</v>
      </c>
      <c r="X140" s="8">
        <f>1-(S140/W140)</f>
        <v>-0.32724031974607692</v>
      </c>
      <c r="AB140">
        <f>A140</f>
        <v>1752067</v>
      </c>
      <c r="AC140">
        <f>IFERROR(IF(OR(NOT(ISNUMBER(S140)),NOT(ISNUMBER(W140))),"",IF(OR(S140&lt;=0,W140&lt;=0),"",(1-S140/W140)*100)),"")</f>
        <v>-32.724031974607691</v>
      </c>
      <c r="AD140">
        <f>IF(AC140="","",(MAX(S140,W140)/MIN(S140,W140)-1)*100)</f>
        <v>32.724031974607691</v>
      </c>
      <c r="AE140">
        <f>IF(AC140="","",ABS(W140-S140))</f>
        <v>953.0219831964996</v>
      </c>
      <c r="AF140">
        <f>IF(AC140="","",IF(AND(AE140&lt;MAX(Расч!$B$11,S140*Расч!$B$12),IF(AD140&lt;Расч!$B$7,0,IF(AD140&lt;Расч!$B$8,1,IF(AD140&lt;Расч!$B$9,2,IF(AD140&lt;Расч!$B$10,3,4))))&gt;1),1,IF(AD140&lt;Расч!$B$7,0,IF(AD140&lt;Расч!$B$8,1,IF(AD140&lt;Расч!$B$9,2,IF(AD140&lt;Расч!$B$10,3,4))))))</f>
        <v>1</v>
      </c>
      <c r="AK140">
        <f>IF(AC140="","",AC140)</f>
        <v>-32.724031974607691</v>
      </c>
      <c r="AL140">
        <f>IF(AE140="","",AE140)</f>
        <v>953.0219831964996</v>
      </c>
      <c r="AM140">
        <f>IF(AF140="","",AF140)</f>
        <v>1</v>
      </c>
      <c r="AN140" t="str">
        <f>IF(AM140="","нет данных",CHOOSE(AM140+1,"Норма","Лёгкое отклонение","Заметный разброс","Выброс","Экстремальный выброс"))</f>
        <v>Лёгкое отклонение</v>
      </c>
      <c r="AO140">
        <f>IF(OR(AC140="",NOT(ISNUMBER(N140))),0,MAX(N140,0))</f>
        <v>108</v>
      </c>
      <c r="AP140">
        <f>IF(AC140="",0,AC140*AO140)</f>
        <v>-3534.1954532576306</v>
      </c>
      <c r="AQ140">
        <f>IF(OR(AC140="",NOT(ISNUMBER(O140))),0,MAX(O140,0)*S140)</f>
        <v>15461.287932785999</v>
      </c>
      <c r="AR140">
        <f>IF(AC140="",0,AC140*AQ140)</f>
        <v>-505955.68068110506</v>
      </c>
    </row>
    <row r="141" spans="1:44" x14ac:dyDescent="0.25">
      <c r="A141">
        <v>1714646</v>
      </c>
      <c r="B141" t="s">
        <v>30</v>
      </c>
      <c r="C141" t="s">
        <v>313</v>
      </c>
      <c r="D141" t="s">
        <v>744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s="5">
        <v>1525.877802</v>
      </c>
      <c r="K141" t="s">
        <v>27</v>
      </c>
      <c r="L141" s="5">
        <v>4899.0633103800001</v>
      </c>
      <c r="M141" t="s">
        <v>314</v>
      </c>
      <c r="N141" s="12">
        <v>106</v>
      </c>
      <c r="O141">
        <v>1</v>
      </c>
      <c r="P141" t="s">
        <v>204</v>
      </c>
      <c r="Q141" s="5">
        <v>2038</v>
      </c>
      <c r="R141" s="5">
        <v>2090.45258874</v>
      </c>
      <c r="S141" s="10">
        <v>4164.203813823</v>
      </c>
      <c r="T141" s="8">
        <v>0.52642327605249561</v>
      </c>
      <c r="U141" s="5">
        <v>441405.60426523798</v>
      </c>
      <c r="V141" s="5">
        <v>232366.184265238</v>
      </c>
      <c r="W141" s="5">
        <v>0</v>
      </c>
      <c r="X141" s="5"/>
    </row>
    <row r="142" spans="1:44" x14ac:dyDescent="0.25">
      <c r="A142">
        <v>1752057</v>
      </c>
      <c r="B142" t="s">
        <v>20</v>
      </c>
      <c r="C142" t="s">
        <v>315</v>
      </c>
      <c r="D142" t="s">
        <v>744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s="5">
        <v>1835.140042</v>
      </c>
      <c r="K142" t="s">
        <v>27</v>
      </c>
      <c r="L142" s="5">
        <v>5890.4364565200003</v>
      </c>
      <c r="M142" t="s">
        <v>316</v>
      </c>
      <c r="N142" s="12">
        <v>106</v>
      </c>
      <c r="O142">
        <v>1</v>
      </c>
      <c r="P142" t="s">
        <v>204</v>
      </c>
      <c r="Q142" s="5">
        <v>2563</v>
      </c>
      <c r="R142" s="5">
        <v>2514.1418575399998</v>
      </c>
      <c r="S142" s="10">
        <v>5006.8709880420001</v>
      </c>
      <c r="T142" s="8">
        <v>0.5116990220360973</v>
      </c>
      <c r="U142" s="5">
        <v>530728.32473245205</v>
      </c>
      <c r="V142" s="5">
        <v>271573.16473245202</v>
      </c>
      <c r="W142" s="5">
        <v>0</v>
      </c>
      <c r="X142" s="5"/>
    </row>
    <row r="143" spans="1:44" x14ac:dyDescent="0.25">
      <c r="A143">
        <v>1714653</v>
      </c>
      <c r="B143" t="s">
        <v>20</v>
      </c>
      <c r="C143" t="s">
        <v>317</v>
      </c>
      <c r="D143" t="s">
        <v>744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s="5">
        <v>2053.8326259999999</v>
      </c>
      <c r="K143" t="s">
        <v>27</v>
      </c>
      <c r="L143" s="5">
        <v>6593.6707011300005</v>
      </c>
      <c r="M143" t="s">
        <v>318</v>
      </c>
      <c r="N143" s="12">
        <v>104</v>
      </c>
      <c r="O143">
        <v>1</v>
      </c>
      <c r="P143" t="s">
        <v>204</v>
      </c>
      <c r="Q143" s="5">
        <v>2729</v>
      </c>
      <c r="R143" s="5">
        <v>2813.7506976200002</v>
      </c>
      <c r="S143" s="10">
        <v>5604.6200959604994</v>
      </c>
      <c r="T143" s="8">
        <v>0.53774267973417944</v>
      </c>
      <c r="U143" s="5">
        <v>582880.48997989192</v>
      </c>
      <c r="V143" s="5">
        <v>313439.71664655861</v>
      </c>
      <c r="W143" s="5">
        <v>0</v>
      </c>
      <c r="X143" s="5"/>
    </row>
    <row r="144" spans="1:44" x14ac:dyDescent="0.25">
      <c r="A144">
        <v>163766</v>
      </c>
      <c r="B144" t="s">
        <v>30</v>
      </c>
      <c r="C144" t="s">
        <v>319</v>
      </c>
      <c r="D144" t="s">
        <v>719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s="5">
        <v>1382.2917620000001</v>
      </c>
      <c r="K144" t="s">
        <v>27</v>
      </c>
      <c r="L144" s="5">
        <v>4567.5383504700003</v>
      </c>
      <c r="M144" t="s">
        <v>320</v>
      </c>
      <c r="N144" s="12">
        <v>102</v>
      </c>
      <c r="O144">
        <v>6</v>
      </c>
      <c r="P144" t="s">
        <v>204</v>
      </c>
      <c r="Q144" s="5">
        <v>1942</v>
      </c>
      <c r="R144" s="5">
        <v>1893.73971394</v>
      </c>
      <c r="S144" s="10">
        <v>3882.4075978995002</v>
      </c>
      <c r="T144" s="8">
        <v>0.51876424970315616</v>
      </c>
      <c r="U144" s="5">
        <v>396005.57498574897</v>
      </c>
      <c r="V144" s="5">
        <v>205433.53498574911</v>
      </c>
      <c r="W144" s="5">
        <v>3433.4</v>
      </c>
      <c r="X144" s="8">
        <f>1-(S144/W144)</f>
        <v>-0.13077637266252107</v>
      </c>
      <c r="AB144">
        <f>A144</f>
        <v>163766</v>
      </c>
      <c r="AC144">
        <f>IFERROR(IF(OR(NOT(ISNUMBER(S144)),NOT(ISNUMBER(W144))),"",IF(OR(S144&lt;=0,W144&lt;=0),"",(1-S144/W144)*100)),"")</f>
        <v>-13.077637266252108</v>
      </c>
      <c r="AD144">
        <f>IF(AC144="","",(MAX(S144,W144)/MIN(S144,W144)-1)*100)</f>
        <v>13.077637266252108</v>
      </c>
      <c r="AE144">
        <f>IF(AC144="","",ABS(W144-S144))</f>
        <v>449.00759789950007</v>
      </c>
      <c r="AF144">
        <f>IF(AC144="","",IF(AND(AE144&lt;MAX(Расч!$B$11,S144*Расч!$B$12),IF(AD144&lt;Расч!$B$7,0,IF(AD144&lt;Расч!$B$8,1,IF(AD144&lt;Расч!$B$9,2,IF(AD144&lt;Расч!$B$10,3,4))))&gt;1),1,IF(AD144&lt;Расч!$B$7,0,IF(AD144&lt;Расч!$B$8,1,IF(AD144&lt;Расч!$B$9,2,IF(AD144&lt;Расч!$B$10,3,4))))))</f>
        <v>0</v>
      </c>
      <c r="AK144">
        <f>IF(AC144="","",AC144)</f>
        <v>-13.077637266252108</v>
      </c>
      <c r="AL144">
        <f>IF(AE144="","",AE144)</f>
        <v>449.00759789950007</v>
      </c>
      <c r="AM144">
        <f>IF(AF144="","",AF144)</f>
        <v>0</v>
      </c>
      <c r="AN144" t="str">
        <f>IF(AM144="","нет данных",CHOOSE(AM144+1,"Норма","Лёгкое отклонение","Заметный разброс","Выброс","Экстремальный выброс"))</f>
        <v>Норма</v>
      </c>
      <c r="AO144">
        <f>IF(OR(AC144="",NOT(ISNUMBER(N144))),0,MAX(N144,0))</f>
        <v>102</v>
      </c>
      <c r="AP144">
        <f>IF(AC144="",0,AC144*AO144)</f>
        <v>-1333.919001157715</v>
      </c>
      <c r="AQ144">
        <f>IF(OR(AC144="",NOT(ISNUMBER(O144))),0,MAX(O144,0)*S144)</f>
        <v>23294.445587397</v>
      </c>
      <c r="AR144">
        <f>IF(AC144="",0,AC144*AQ144)</f>
        <v>-304636.30971042498</v>
      </c>
    </row>
    <row r="145" spans="1:44" x14ac:dyDescent="0.25">
      <c r="A145">
        <v>170262</v>
      </c>
      <c r="B145" t="s">
        <v>30</v>
      </c>
      <c r="C145" t="s">
        <v>321</v>
      </c>
      <c r="D145" t="s">
        <v>732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s="5">
        <v>1464.5776080000001</v>
      </c>
      <c r="K145" t="s">
        <v>27</v>
      </c>
      <c r="L145" s="5">
        <v>4700.4188552400001</v>
      </c>
      <c r="M145" t="s">
        <v>322</v>
      </c>
      <c r="N145" s="12">
        <v>102</v>
      </c>
      <c r="O145">
        <v>5</v>
      </c>
      <c r="P145" t="s">
        <v>204</v>
      </c>
      <c r="Q145" s="5">
        <v>2090</v>
      </c>
      <c r="R145" s="5">
        <v>2006.47132296</v>
      </c>
      <c r="S145" s="10">
        <v>3995.3560269539998</v>
      </c>
      <c r="T145" s="8">
        <v>0.50254996386010864</v>
      </c>
      <c r="U145" s="5">
        <v>407526.31474930799</v>
      </c>
      <c r="V145" s="5">
        <v>204802.33474930801</v>
      </c>
      <c r="W145" s="5">
        <v>0</v>
      </c>
      <c r="X145" s="5"/>
    </row>
    <row r="146" spans="1:44" x14ac:dyDescent="0.25">
      <c r="A146">
        <v>1714648</v>
      </c>
      <c r="B146" t="s">
        <v>30</v>
      </c>
      <c r="C146" t="s">
        <v>323</v>
      </c>
      <c r="D146" t="s">
        <v>744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s="5">
        <v>1210.5407680000001</v>
      </c>
      <c r="K146" t="s">
        <v>27</v>
      </c>
      <c r="L146" s="5">
        <v>3774.6384437699999</v>
      </c>
      <c r="M146" t="s">
        <v>324</v>
      </c>
      <c r="N146" s="12">
        <v>101</v>
      </c>
      <c r="O146">
        <v>3</v>
      </c>
      <c r="P146" t="s">
        <v>204</v>
      </c>
      <c r="Q146" s="5">
        <v>1665</v>
      </c>
      <c r="R146" s="5">
        <v>1658.4408521600001</v>
      </c>
      <c r="S146" s="10">
        <v>3208.4426772044999</v>
      </c>
      <c r="T146" s="8">
        <v>0.505859957771984</v>
      </c>
      <c r="U146" s="5">
        <v>324052.7103976545</v>
      </c>
      <c r="V146" s="5">
        <v>163925.29039765449</v>
      </c>
      <c r="W146" s="5">
        <v>0</v>
      </c>
      <c r="X146" s="5"/>
    </row>
    <row r="147" spans="1:44" x14ac:dyDescent="0.25">
      <c r="A147">
        <v>170274</v>
      </c>
      <c r="B147" t="s">
        <v>30</v>
      </c>
      <c r="C147" t="s">
        <v>325</v>
      </c>
      <c r="D147" t="s">
        <v>744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s="5">
        <v>1276.258994</v>
      </c>
      <c r="K147" t="s">
        <v>27</v>
      </c>
      <c r="L147" s="5">
        <v>4098.458697179999</v>
      </c>
      <c r="M147" t="s">
        <v>326</v>
      </c>
      <c r="N147" s="12">
        <v>101</v>
      </c>
      <c r="O147">
        <v>2</v>
      </c>
      <c r="P147" t="s">
        <v>204</v>
      </c>
      <c r="Q147" s="5">
        <v>1891</v>
      </c>
      <c r="R147" s="5">
        <v>1748.47482178</v>
      </c>
      <c r="S147" s="10">
        <v>3483.689892602999</v>
      </c>
      <c r="T147" s="8">
        <v>0.47933798474676592</v>
      </c>
      <c r="U147" s="5">
        <v>351852.67915290291</v>
      </c>
      <c r="V147" s="5">
        <v>168656.3541529029</v>
      </c>
      <c r="W147" s="5">
        <v>0</v>
      </c>
      <c r="X147" s="5"/>
    </row>
    <row r="148" spans="1:44" x14ac:dyDescent="0.25">
      <c r="A148">
        <v>1855009</v>
      </c>
      <c r="B148" t="s">
        <v>20</v>
      </c>
      <c r="C148" t="s">
        <v>327</v>
      </c>
      <c r="D148" t="s">
        <v>744</v>
      </c>
      <c r="E148" t="s">
        <v>22</v>
      </c>
      <c r="F148" t="s">
        <v>23</v>
      </c>
      <c r="G148" t="s">
        <v>24</v>
      </c>
      <c r="H148" t="s">
        <v>25</v>
      </c>
      <c r="I148" t="s">
        <v>26</v>
      </c>
      <c r="J148" s="5">
        <v>1907.485316</v>
      </c>
      <c r="K148" t="s">
        <v>27</v>
      </c>
      <c r="L148" s="5">
        <v>5640.4101698099994</v>
      </c>
      <c r="M148" t="s">
        <v>328</v>
      </c>
      <c r="N148" s="12">
        <v>98</v>
      </c>
      <c r="O148">
        <v>9</v>
      </c>
      <c r="P148" t="s">
        <v>204</v>
      </c>
      <c r="Q148" s="5">
        <v>2815</v>
      </c>
      <c r="R148" s="5">
        <v>2613.25488292</v>
      </c>
      <c r="S148" s="10">
        <v>4794.3486443384991</v>
      </c>
      <c r="T148" s="8">
        <v>0.44375186332157979</v>
      </c>
      <c r="U148" s="5">
        <v>469846.16714517289</v>
      </c>
      <c r="V148" s="5">
        <v>208495.1121451729</v>
      </c>
      <c r="W148" s="5">
        <v>0</v>
      </c>
      <c r="X148" s="5"/>
    </row>
    <row r="149" spans="1:44" x14ac:dyDescent="0.25">
      <c r="A149">
        <v>170243</v>
      </c>
      <c r="B149" t="s">
        <v>20</v>
      </c>
      <c r="C149" t="s">
        <v>329</v>
      </c>
      <c r="D149" t="s">
        <v>791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s="5">
        <v>2004.68202</v>
      </c>
      <c r="K149" t="s">
        <v>27</v>
      </c>
      <c r="L149" s="5">
        <v>6434.7654099600004</v>
      </c>
      <c r="M149" t="s">
        <v>330</v>
      </c>
      <c r="N149" s="12">
        <v>96</v>
      </c>
      <c r="O149">
        <v>12</v>
      </c>
      <c r="P149" t="s">
        <v>204</v>
      </c>
      <c r="Q149" s="5">
        <v>2803</v>
      </c>
      <c r="R149" s="5">
        <v>2746.4143674000011</v>
      </c>
      <c r="S149" s="10">
        <v>5469.5505984660003</v>
      </c>
      <c r="T149" s="8">
        <v>0.50662125682558945</v>
      </c>
      <c r="U149" s="5">
        <v>525076.857452736</v>
      </c>
      <c r="V149" s="5">
        <v>266015.09745273599</v>
      </c>
      <c r="W149" s="5">
        <v>0</v>
      </c>
      <c r="X149" s="5"/>
    </row>
    <row r="150" spans="1:44" x14ac:dyDescent="0.25">
      <c r="A150">
        <v>163790</v>
      </c>
      <c r="B150" t="s">
        <v>30</v>
      </c>
      <c r="C150" t="s">
        <v>331</v>
      </c>
      <c r="D150" t="s">
        <v>792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s="5">
        <v>1159.1811459999999</v>
      </c>
      <c r="K150" t="s">
        <v>27</v>
      </c>
      <c r="L150" s="5">
        <v>3611.3157875399988</v>
      </c>
      <c r="M150" t="s">
        <v>332</v>
      </c>
      <c r="N150" s="12">
        <v>94</v>
      </c>
      <c r="O150">
        <v>2</v>
      </c>
      <c r="P150" t="s">
        <v>204</v>
      </c>
      <c r="Q150" s="5">
        <v>1565</v>
      </c>
      <c r="R150" s="5">
        <v>1588.07817002</v>
      </c>
      <c r="S150" s="10">
        <v>3069.6184194089992</v>
      </c>
      <c r="T150" s="8">
        <v>0.50783133485012377</v>
      </c>
      <c r="U150" s="5">
        <v>288544.13142444589</v>
      </c>
      <c r="V150" s="5">
        <v>146531.75142444589</v>
      </c>
      <c r="W150" s="5">
        <v>1966.1</v>
      </c>
      <c r="X150" s="8">
        <f>1-(S150/W150)</f>
        <v>-0.56127278338283881</v>
      </c>
      <c r="AB150">
        <f>A150</f>
        <v>163790</v>
      </c>
      <c r="AC150">
        <f>IFERROR(IF(OR(NOT(ISNUMBER(S150)),NOT(ISNUMBER(W150))),"",IF(OR(S150&lt;=0,W150&lt;=0),"",(1-S150/W150)*100)),"")</f>
        <v>-56.12727833828388</v>
      </c>
      <c r="AD150">
        <f>IF(AC150="","",(MAX(S150,W150)/MIN(S150,W150)-1)*100)</f>
        <v>56.12727833828388</v>
      </c>
      <c r="AE150">
        <f>IF(AC150="","",ABS(W150-S150))</f>
        <v>1103.5184194089993</v>
      </c>
      <c r="AF150">
        <f>IF(AC150="","",IF(AND(AE150&lt;MAX(Расч!$B$11,S150*Расч!$B$12),IF(AD150&lt;Расч!$B$7,0,IF(AD150&lt;Расч!$B$8,1,IF(AD150&lt;Расч!$B$9,2,IF(AD150&lt;Расч!$B$10,3,4))))&gt;1),1,IF(AD150&lt;Расч!$B$7,0,IF(AD150&lt;Расч!$B$8,1,IF(AD150&lt;Расч!$B$9,2,IF(AD150&lt;Расч!$B$10,3,4))))))</f>
        <v>3</v>
      </c>
      <c r="AK150">
        <f>IF(AC150="","",AC150)</f>
        <v>-56.12727833828388</v>
      </c>
      <c r="AL150">
        <f>IF(AE150="","",AE150)</f>
        <v>1103.5184194089993</v>
      </c>
      <c r="AM150">
        <f>IF(AF150="","",AF150)</f>
        <v>3</v>
      </c>
      <c r="AN150" t="str">
        <f>IF(AM150="","нет данных",CHOOSE(AM150+1,"Норма","Лёгкое отклонение","Заметный разброс","Выброс","Экстремальный выброс"))</f>
        <v>Выброс</v>
      </c>
      <c r="AO150">
        <f>IF(OR(AC150="",NOT(ISNUMBER(N150))),0,MAX(N150,0))</f>
        <v>94</v>
      </c>
      <c r="AP150">
        <f>IF(AC150="",0,AC150*AO150)</f>
        <v>-5275.9641637986842</v>
      </c>
      <c r="AQ150">
        <f>IF(OR(AC150="",NOT(ISNUMBER(O150))),0,MAX(O150,0)*S150)</f>
        <v>6139.2368388179984</v>
      </c>
      <c r="AR150">
        <f>IF(AC150="",0,AC150*AQ150)</f>
        <v>-344578.65483698383</v>
      </c>
    </row>
    <row r="151" spans="1:44" x14ac:dyDescent="0.25">
      <c r="A151">
        <v>163785</v>
      </c>
      <c r="B151" t="s">
        <v>20</v>
      </c>
      <c r="C151" t="s">
        <v>333</v>
      </c>
      <c r="D151" t="s">
        <v>744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s="5">
        <v>1518.6985</v>
      </c>
      <c r="K151" t="s">
        <v>27</v>
      </c>
      <c r="L151" s="5">
        <v>4877.2161870599994</v>
      </c>
      <c r="M151" t="s">
        <v>334</v>
      </c>
      <c r="N151" s="12">
        <v>92</v>
      </c>
      <c r="O151">
        <v>0</v>
      </c>
      <c r="P151" t="s">
        <v>204</v>
      </c>
      <c r="Q151" s="5">
        <v>0</v>
      </c>
      <c r="R151" s="5">
        <v>2080.6169450000002</v>
      </c>
      <c r="S151" s="10">
        <v>4145.6337590009989</v>
      </c>
      <c r="T151" s="8">
        <v>0.43669167713388513</v>
      </c>
      <c r="U151" s="5">
        <v>381398.30582809192</v>
      </c>
      <c r="V151" s="5">
        <v>166553.4658280919</v>
      </c>
      <c r="W151" s="5">
        <v>0</v>
      </c>
      <c r="X151" s="5"/>
    </row>
    <row r="152" spans="1:44" x14ac:dyDescent="0.25">
      <c r="A152">
        <v>130911</v>
      </c>
      <c r="B152" t="s">
        <v>20</v>
      </c>
      <c r="C152" t="s">
        <v>335</v>
      </c>
      <c r="D152" t="s">
        <v>793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s="5">
        <v>1223.24261</v>
      </c>
      <c r="K152" t="s">
        <v>27</v>
      </c>
      <c r="L152" s="5">
        <v>3927.5854285800001</v>
      </c>
      <c r="M152" t="s">
        <v>336</v>
      </c>
      <c r="N152" s="12">
        <v>90</v>
      </c>
      <c r="O152">
        <v>20</v>
      </c>
      <c r="P152" t="s">
        <v>204</v>
      </c>
      <c r="Q152" s="5">
        <v>1618</v>
      </c>
      <c r="R152" s="5">
        <v>1675.8423757</v>
      </c>
      <c r="S152" s="10">
        <v>3338.4476142929998</v>
      </c>
      <c r="T152" s="8">
        <v>0.49801747119674311</v>
      </c>
      <c r="U152" s="5">
        <v>300460.28528637002</v>
      </c>
      <c r="V152" s="5">
        <v>149634.47147337001</v>
      </c>
      <c r="W152" s="5">
        <v>3004</v>
      </c>
      <c r="X152" s="8">
        <f>1-(S152/W152)</f>
        <v>-0.11133409264081218</v>
      </c>
      <c r="AB152">
        <f>A152</f>
        <v>130911</v>
      </c>
      <c r="AC152">
        <f>IFERROR(IF(OR(NOT(ISNUMBER(S152)),NOT(ISNUMBER(W152))),"",IF(OR(S152&lt;=0,W152&lt;=0),"",(1-S152/W152)*100)),"")</f>
        <v>-11.133409264081218</v>
      </c>
      <c r="AD152">
        <f>IF(AC152="","",(MAX(S152,W152)/MIN(S152,W152)-1)*100)</f>
        <v>11.133409264081218</v>
      </c>
      <c r="AE152">
        <f>IF(AC152="","",ABS(W152-S152))</f>
        <v>334.44761429299979</v>
      </c>
      <c r="AF152">
        <f>IF(AC152="","",IF(AND(AE152&lt;MAX(Расч!$B$11,S152*Расч!$B$12),IF(AD152&lt;Расч!$B$7,0,IF(AD152&lt;Расч!$B$8,1,IF(AD152&lt;Расч!$B$9,2,IF(AD152&lt;Расч!$B$10,3,4))))&gt;1),1,IF(AD152&lt;Расч!$B$7,0,IF(AD152&lt;Расч!$B$8,1,IF(AD152&lt;Расч!$B$9,2,IF(AD152&lt;Расч!$B$10,3,4))))))</f>
        <v>0</v>
      </c>
      <c r="AK152">
        <f>IF(AC152="","",AC152)</f>
        <v>-11.133409264081218</v>
      </c>
      <c r="AL152">
        <f>IF(AE152="","",AE152)</f>
        <v>334.44761429299979</v>
      </c>
      <c r="AM152">
        <f>IF(AF152="","",AF152)</f>
        <v>0</v>
      </c>
      <c r="AN152" t="str">
        <f>IF(AM152="","нет данных",CHOOSE(AM152+1,"Норма","Лёгкое отклонение","Заметный разброс","Выброс","Экстремальный выброс"))</f>
        <v>Норма</v>
      </c>
      <c r="AO152">
        <f>IF(OR(AC152="",NOT(ISNUMBER(N152))),0,MAX(N152,0))</f>
        <v>90</v>
      </c>
      <c r="AP152">
        <f>IF(AC152="",0,AC152*AO152)</f>
        <v>-1002.0068337673096</v>
      </c>
      <c r="AQ152">
        <f>IF(OR(AC152="",NOT(ISNUMBER(O152))),0,MAX(O152,0)*S152)</f>
        <v>66768.952285859996</v>
      </c>
      <c r="AR152">
        <f>IF(AC152="",0,AC152*AQ152)</f>
        <v>-743366.07193239045</v>
      </c>
    </row>
    <row r="153" spans="1:44" x14ac:dyDescent="0.25">
      <c r="A153">
        <v>1752052</v>
      </c>
      <c r="B153" t="s">
        <v>20</v>
      </c>
      <c r="C153" t="s">
        <v>337</v>
      </c>
      <c r="D153" t="s">
        <v>744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s="5">
        <v>1504.8921499999999</v>
      </c>
      <c r="K153" t="s">
        <v>27</v>
      </c>
      <c r="L153" s="5">
        <v>4829.5326146099997</v>
      </c>
      <c r="M153" t="s">
        <v>338</v>
      </c>
      <c r="N153" s="12">
        <v>90</v>
      </c>
      <c r="O153">
        <v>4</v>
      </c>
      <c r="P153" t="s">
        <v>204</v>
      </c>
      <c r="Q153" s="5">
        <v>1751</v>
      </c>
      <c r="R153" s="5">
        <v>2061.7022455000001</v>
      </c>
      <c r="S153" s="10">
        <v>4105.1027224185</v>
      </c>
      <c r="T153" s="8">
        <v>0.59545104902476154</v>
      </c>
      <c r="U153" s="5">
        <v>369459.24501766497</v>
      </c>
      <c r="V153" s="5">
        <v>219994.895017665</v>
      </c>
      <c r="W153" s="5">
        <v>0</v>
      </c>
    </row>
    <row r="154" spans="1:44" x14ac:dyDescent="0.25">
      <c r="A154">
        <v>1714640</v>
      </c>
      <c r="B154" t="s">
        <v>20</v>
      </c>
      <c r="C154" t="s">
        <v>339</v>
      </c>
      <c r="D154" t="s">
        <v>744</v>
      </c>
      <c r="E154" t="s">
        <v>22</v>
      </c>
      <c r="F154" t="s">
        <v>23</v>
      </c>
      <c r="G154" t="s">
        <v>24</v>
      </c>
      <c r="H154" t="s">
        <v>25</v>
      </c>
      <c r="I154" t="s">
        <v>26</v>
      </c>
      <c r="J154" s="5">
        <v>1576.68517</v>
      </c>
      <c r="K154" t="s">
        <v>27</v>
      </c>
      <c r="L154" s="5">
        <v>3195.1760286899998</v>
      </c>
      <c r="M154" t="s">
        <v>340</v>
      </c>
      <c r="N154" s="12">
        <v>88</v>
      </c>
      <c r="O154">
        <v>1</v>
      </c>
      <c r="P154" t="s">
        <v>204</v>
      </c>
      <c r="Q154" s="5">
        <v>2216</v>
      </c>
      <c r="R154" s="5">
        <v>2160.0586828999999</v>
      </c>
      <c r="S154" s="10">
        <v>2715.8996243864999</v>
      </c>
      <c r="T154" s="8">
        <v>0.2197060668327496</v>
      </c>
      <c r="U154" s="5">
        <v>238999.166946012</v>
      </c>
      <c r="V154" s="5">
        <v>52509.566946011997</v>
      </c>
      <c r="W154" s="5">
        <v>5438</v>
      </c>
      <c r="X154" s="8">
        <f>1-(S154/W154)</f>
        <v>0.50057013159497976</v>
      </c>
      <c r="AB154">
        <f>A154</f>
        <v>1714640</v>
      </c>
      <c r="AC154">
        <f>IFERROR(IF(OR(NOT(ISNUMBER(S154)),NOT(ISNUMBER(W154))),"",IF(OR(S154&lt;=0,W154&lt;=0),"",(1-S154/W154)*100)),"")</f>
        <v>50.057013159497977</v>
      </c>
      <c r="AD154">
        <f>IF(AC154="","",(MAX(S154,W154)/MIN(S154,W154)-1)*100)</f>
        <v>100.22831297487294</v>
      </c>
      <c r="AE154">
        <f>IF(AC154="","",ABS(W154-S154))</f>
        <v>2722.1003756135001</v>
      </c>
      <c r="AF154">
        <f>IF(AC154="","",IF(AND(AE154&lt;MAX(Расч!$B$11,S154*Расч!$B$12),IF(AD154&lt;Расч!$B$7,0,IF(AD154&lt;Расч!$B$8,1,IF(AD154&lt;Расч!$B$9,2,IF(AD154&lt;Расч!$B$10,3,4))))&gt;1),1,IF(AD154&lt;Расч!$B$7,0,IF(AD154&lt;Расч!$B$8,1,IF(AD154&lt;Расч!$B$9,2,IF(AD154&lt;Расч!$B$10,3,4))))))</f>
        <v>4</v>
      </c>
      <c r="AK154">
        <f t="shared" ref="AK154:AK156" si="42">IF(AC154="","",AC154)</f>
        <v>50.057013159497977</v>
      </c>
      <c r="AL154">
        <f t="shared" ref="AL154:AL156" si="43">IF(AE154="","",AE154)</f>
        <v>2722.1003756135001</v>
      </c>
      <c r="AM154">
        <f t="shared" ref="AM154:AM156" si="44">IF(AF154="","",AF154)</f>
        <v>4</v>
      </c>
      <c r="AN154" t="str">
        <f t="shared" ref="AN154:AN156" si="45">IF(AM154="","нет данных",CHOOSE(AM154+1,"Норма","Лёгкое отклонение","Заметный разброс","Выброс","Экстремальный выброс"))</f>
        <v>Экстремальный выброс</v>
      </c>
      <c r="AO154">
        <f>IF(OR(AC154="",NOT(ISNUMBER(N154))),0,MAX(N154,0))</f>
        <v>88</v>
      </c>
      <c r="AP154">
        <f t="shared" ref="AP154:AP156" si="46">IF(AC154="",0,AC154*AO154)</f>
        <v>4405.0171580358219</v>
      </c>
      <c r="AQ154">
        <f>IF(OR(AC154="",NOT(ISNUMBER(O154))),0,MAX(O154,0)*S154)</f>
        <v>2715.8996243864999</v>
      </c>
      <c r="AR154">
        <f t="shared" ref="AR154:AR156" si="47">IF(AC154="",0,AC154*AQ154)</f>
        <v>135949.82323779064</v>
      </c>
    </row>
    <row r="155" spans="1:44" x14ac:dyDescent="0.25">
      <c r="A155">
        <v>130874</v>
      </c>
      <c r="B155" t="s">
        <v>30</v>
      </c>
      <c r="C155" t="s">
        <v>341</v>
      </c>
      <c r="D155" t="s">
        <v>727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s="5">
        <v>1432.5468760000001</v>
      </c>
      <c r="K155" t="s">
        <v>27</v>
      </c>
      <c r="L155" s="5">
        <v>4599.0762824100002</v>
      </c>
      <c r="M155" t="s">
        <v>342</v>
      </c>
      <c r="N155" s="12">
        <v>88</v>
      </c>
      <c r="O155">
        <v>0</v>
      </c>
      <c r="P155" t="s">
        <v>204</v>
      </c>
      <c r="Q155" s="5">
        <v>0</v>
      </c>
      <c r="R155" s="5">
        <v>1962.5892201199999</v>
      </c>
      <c r="S155" s="10">
        <v>3909.2148400484998</v>
      </c>
      <c r="T155" s="8">
        <v>0.49795820889300341</v>
      </c>
      <c r="U155" s="5">
        <v>344010.90592426801</v>
      </c>
      <c r="V155" s="5">
        <v>171303.054553708</v>
      </c>
      <c r="W155" s="5">
        <v>3355.8</v>
      </c>
      <c r="X155" s="8">
        <f>1-(S155/W155)</f>
        <v>-0.16491293880699076</v>
      </c>
      <c r="AB155">
        <f>A155</f>
        <v>130874</v>
      </c>
      <c r="AC155">
        <f>IFERROR(IF(OR(NOT(ISNUMBER(S155)),NOT(ISNUMBER(W155))),"",IF(OR(S155&lt;=0,W155&lt;=0),"",(1-S155/W155)*100)),"")</f>
        <v>-16.491293880699075</v>
      </c>
      <c r="AD155">
        <f>IF(AC155="","",(MAX(S155,W155)/MIN(S155,W155)-1)*100)</f>
        <v>16.491293880699075</v>
      </c>
      <c r="AE155">
        <f>IF(AC155="","",ABS(W155-S155))</f>
        <v>553.41484004849963</v>
      </c>
      <c r="AF155">
        <f>IF(AC155="","",IF(AND(AE155&lt;MAX(Расч!$B$11,S155*Расч!$B$12),IF(AD155&lt;Расч!$B$7,0,IF(AD155&lt;Расч!$B$8,1,IF(AD155&lt;Расч!$B$9,2,IF(AD155&lt;Расч!$B$10,3,4))))&gt;1),1,IF(AD155&lt;Расч!$B$7,0,IF(AD155&lt;Расч!$B$8,1,IF(AD155&lt;Расч!$B$9,2,IF(AD155&lt;Расч!$B$10,3,4))))))</f>
        <v>0</v>
      </c>
      <c r="AK155">
        <f t="shared" si="42"/>
        <v>-16.491293880699075</v>
      </c>
      <c r="AL155">
        <f t="shared" si="43"/>
        <v>553.41484004849963</v>
      </c>
      <c r="AM155">
        <f t="shared" si="44"/>
        <v>0</v>
      </c>
      <c r="AN155" t="str">
        <f t="shared" si="45"/>
        <v>Норма</v>
      </c>
      <c r="AO155">
        <f>IF(OR(AC155="",NOT(ISNUMBER(N155))),0,MAX(N155,0))</f>
        <v>88</v>
      </c>
      <c r="AP155">
        <f t="shared" si="46"/>
        <v>-1451.2338615015187</v>
      </c>
      <c r="AQ155">
        <f>IF(OR(AC155="",NOT(ISNUMBER(O155))),0,MAX(O155,0)*S155)</f>
        <v>0</v>
      </c>
      <c r="AR155">
        <f t="shared" si="47"/>
        <v>0</v>
      </c>
    </row>
    <row r="156" spans="1:44" x14ac:dyDescent="0.25">
      <c r="A156">
        <v>130950</v>
      </c>
      <c r="B156" t="s">
        <v>30</v>
      </c>
      <c r="C156" t="s">
        <v>343</v>
      </c>
      <c r="D156" t="s">
        <v>794</v>
      </c>
      <c r="E156" t="s">
        <v>22</v>
      </c>
      <c r="F156" t="s">
        <v>23</v>
      </c>
      <c r="G156" t="s">
        <v>24</v>
      </c>
      <c r="H156" t="s">
        <v>25</v>
      </c>
      <c r="I156" t="s">
        <v>26</v>
      </c>
      <c r="J156" s="5">
        <v>1318.2302979999999</v>
      </c>
      <c r="K156" t="s">
        <v>27</v>
      </c>
      <c r="L156" s="5">
        <v>4233.54788448</v>
      </c>
      <c r="M156" t="s">
        <v>344</v>
      </c>
      <c r="N156" s="12">
        <v>88</v>
      </c>
      <c r="O156">
        <v>8</v>
      </c>
      <c r="P156" t="s">
        <v>204</v>
      </c>
      <c r="Q156" s="5">
        <v>1930</v>
      </c>
      <c r="R156" s="5">
        <v>1805.97550826</v>
      </c>
      <c r="S156" s="10">
        <v>3598.5157018079999</v>
      </c>
      <c r="T156" s="8">
        <v>0.4856063156623226</v>
      </c>
      <c r="U156" s="5">
        <v>316669.38175910403</v>
      </c>
      <c r="V156" s="5">
        <v>153776.65175910399</v>
      </c>
      <c r="W156" s="5">
        <v>5142.25</v>
      </c>
      <c r="X156" s="8">
        <f>1-(S156/W156)</f>
        <v>0.30020599896776701</v>
      </c>
      <c r="AB156">
        <f>A156</f>
        <v>130950</v>
      </c>
      <c r="AC156">
        <f>IFERROR(IF(OR(NOT(ISNUMBER(S156)),NOT(ISNUMBER(W156))),"",IF(OR(S156&lt;=0,W156&lt;=0),"",(1-S156/W156)*100)),"")</f>
        <v>30.020599896776702</v>
      </c>
      <c r="AD156">
        <f>IF(AC156="","",(MAX(S156,W156)/MIN(S156,W156)-1)*100)</f>
        <v>42.899195838339189</v>
      </c>
      <c r="AE156">
        <f>IF(AC156="","",ABS(W156-S156))</f>
        <v>1543.7342981920001</v>
      </c>
      <c r="AF156">
        <f>IF(AC156="","",IF(AND(AE156&lt;MAX(Расч!$B$11,S156*Расч!$B$12),IF(AD156&lt;Расч!$B$7,0,IF(AD156&lt;Расч!$B$8,1,IF(AD156&lt;Расч!$B$9,2,IF(AD156&lt;Расч!$B$10,3,4))))&gt;1),1,IF(AD156&lt;Расч!$B$7,0,IF(AD156&lt;Расч!$B$8,1,IF(AD156&lt;Расч!$B$9,2,IF(AD156&lt;Расч!$B$10,3,4))))))</f>
        <v>2</v>
      </c>
      <c r="AK156">
        <f t="shared" si="42"/>
        <v>30.020599896776702</v>
      </c>
      <c r="AL156">
        <f t="shared" si="43"/>
        <v>1543.7342981920001</v>
      </c>
      <c r="AM156">
        <f t="shared" si="44"/>
        <v>2</v>
      </c>
      <c r="AN156" t="str">
        <f t="shared" si="45"/>
        <v>Заметный разброс</v>
      </c>
      <c r="AO156">
        <f>IF(OR(AC156="",NOT(ISNUMBER(N156))),0,MAX(N156,0))</f>
        <v>88</v>
      </c>
      <c r="AP156">
        <f t="shared" si="46"/>
        <v>2641.8127909163495</v>
      </c>
      <c r="AQ156">
        <f>IF(OR(AC156="",NOT(ISNUMBER(O156))),0,MAX(O156,0)*S156)</f>
        <v>28788.125614463999</v>
      </c>
      <c r="AR156">
        <f t="shared" si="47"/>
        <v>864236.80084997264</v>
      </c>
    </row>
    <row r="157" spans="1:44" x14ac:dyDescent="0.25">
      <c r="A157">
        <v>156220</v>
      </c>
      <c r="B157" t="s">
        <v>30</v>
      </c>
      <c r="C157" t="s">
        <v>345</v>
      </c>
      <c r="D157" t="s">
        <v>795</v>
      </c>
      <c r="E157" t="s">
        <v>22</v>
      </c>
      <c r="F157" t="s">
        <v>23</v>
      </c>
      <c r="G157" t="s">
        <v>24</v>
      </c>
      <c r="H157" t="s">
        <v>25</v>
      </c>
      <c r="I157" t="s">
        <v>26</v>
      </c>
      <c r="J157" s="5">
        <v>1401.0683979999999</v>
      </c>
      <c r="K157" t="s">
        <v>27</v>
      </c>
      <c r="L157" s="5">
        <v>4499.7882979799997</v>
      </c>
      <c r="M157" t="s">
        <v>346</v>
      </c>
      <c r="N157" s="12">
        <v>88</v>
      </c>
      <c r="O157">
        <v>4</v>
      </c>
      <c r="P157" t="s">
        <v>204</v>
      </c>
      <c r="Q157" s="5">
        <v>2018</v>
      </c>
      <c r="R157" s="5">
        <v>1919.4637052600001</v>
      </c>
      <c r="S157" s="10">
        <v>3824.8200532830001</v>
      </c>
      <c r="T157" s="8">
        <v>0.49634624030312091</v>
      </c>
      <c r="U157" s="5">
        <v>336584.16468890401</v>
      </c>
      <c r="V157" s="5">
        <v>167062.28468890401</v>
      </c>
      <c r="W157" s="5">
        <v>0</v>
      </c>
      <c r="X157" s="5"/>
    </row>
    <row r="158" spans="1:44" x14ac:dyDescent="0.25">
      <c r="A158">
        <v>130921</v>
      </c>
      <c r="B158" t="s">
        <v>20</v>
      </c>
      <c r="C158" t="s">
        <v>347</v>
      </c>
      <c r="D158" t="s">
        <v>743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s="5">
        <v>1423.710812</v>
      </c>
      <c r="K158" t="s">
        <v>27</v>
      </c>
      <c r="L158" s="5">
        <v>4571.2879743000003</v>
      </c>
      <c r="M158" t="s">
        <v>348</v>
      </c>
      <c r="N158" s="12">
        <v>85</v>
      </c>
      <c r="O158">
        <v>9</v>
      </c>
      <c r="P158" t="s">
        <v>204</v>
      </c>
      <c r="Q158" s="5">
        <v>2074</v>
      </c>
      <c r="R158" s="5">
        <v>1950.4838124400001</v>
      </c>
      <c r="S158" s="10">
        <v>3885.5947781549999</v>
      </c>
      <c r="T158" s="8">
        <v>0.48774123045709949</v>
      </c>
      <c r="U158" s="5">
        <v>330275.55614317511</v>
      </c>
      <c r="V158" s="5">
        <v>161089.00614317501</v>
      </c>
      <c r="W158" s="5">
        <v>0</v>
      </c>
    </row>
    <row r="159" spans="1:44" x14ac:dyDescent="0.25">
      <c r="A159">
        <v>130903</v>
      </c>
      <c r="B159" t="s">
        <v>30</v>
      </c>
      <c r="C159" t="s">
        <v>349</v>
      </c>
      <c r="D159" t="s">
        <v>744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 s="5">
        <v>1577.7896780000001</v>
      </c>
      <c r="K159" t="s">
        <v>27</v>
      </c>
      <c r="L159" s="5">
        <v>5065.9301316000001</v>
      </c>
      <c r="M159" t="s">
        <v>350</v>
      </c>
      <c r="N159" s="12">
        <v>84</v>
      </c>
      <c r="O159">
        <v>10</v>
      </c>
      <c r="P159" t="s">
        <v>204</v>
      </c>
      <c r="Q159" s="5">
        <v>2304</v>
      </c>
      <c r="R159" s="5">
        <v>2161.5718588599998</v>
      </c>
      <c r="S159" s="10">
        <v>4306.0406118600004</v>
      </c>
      <c r="T159" s="8">
        <v>0.48647720741192751</v>
      </c>
      <c r="U159" s="5">
        <v>361707.41139624</v>
      </c>
      <c r="V159" s="5">
        <v>175962.41139624</v>
      </c>
      <c r="W159" s="5">
        <v>0</v>
      </c>
      <c r="X159" s="5"/>
    </row>
    <row r="160" spans="1:44" x14ac:dyDescent="0.25">
      <c r="A160">
        <v>1859645</v>
      </c>
      <c r="B160" t="s">
        <v>30</v>
      </c>
      <c r="C160" t="s">
        <v>351</v>
      </c>
      <c r="D160" t="s">
        <v>744</v>
      </c>
      <c r="E160" t="s">
        <v>22</v>
      </c>
      <c r="F160" t="s">
        <v>23</v>
      </c>
      <c r="G160" t="s">
        <v>24</v>
      </c>
      <c r="H160" t="s">
        <v>25</v>
      </c>
      <c r="I160" t="s">
        <v>26</v>
      </c>
      <c r="J160" s="5">
        <v>1765.003784</v>
      </c>
      <c r="K160" t="s">
        <v>27</v>
      </c>
      <c r="L160" s="5">
        <v>4892.1975608099992</v>
      </c>
      <c r="M160" t="s">
        <v>352</v>
      </c>
      <c r="N160" s="12">
        <v>84</v>
      </c>
      <c r="O160">
        <v>6</v>
      </c>
      <c r="P160" t="s">
        <v>204</v>
      </c>
      <c r="Q160" s="5">
        <v>2583</v>
      </c>
      <c r="R160" s="5">
        <v>2418.0551840799999</v>
      </c>
      <c r="S160" s="10">
        <v>4158.3679266884992</v>
      </c>
      <c r="T160" s="8">
        <v>0.40386257452353203</v>
      </c>
      <c r="U160" s="5">
        <v>349302.90584183391</v>
      </c>
      <c r="V160" s="5">
        <v>141070.37084183391</v>
      </c>
      <c r="W160" s="5">
        <v>0</v>
      </c>
      <c r="X160" s="5"/>
    </row>
    <row r="161" spans="1:44" x14ac:dyDescent="0.25">
      <c r="A161">
        <v>156224</v>
      </c>
      <c r="B161" t="s">
        <v>30</v>
      </c>
      <c r="C161" t="s">
        <v>353</v>
      </c>
      <c r="D161" t="s">
        <v>796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s="5">
        <v>1554.59501</v>
      </c>
      <c r="K161" t="s">
        <v>27</v>
      </c>
      <c r="L161" s="5">
        <v>4990.4753726099998</v>
      </c>
      <c r="M161" t="s">
        <v>354</v>
      </c>
      <c r="N161" s="12">
        <v>84</v>
      </c>
      <c r="O161">
        <v>10</v>
      </c>
      <c r="P161" t="s">
        <v>204</v>
      </c>
      <c r="Q161" s="5">
        <v>2095</v>
      </c>
      <c r="R161" s="5">
        <v>2129.7951637000001</v>
      </c>
      <c r="S161" s="10">
        <v>4241.9040667185</v>
      </c>
      <c r="T161" s="8">
        <v>0.50998891834723381</v>
      </c>
      <c r="U161" s="5">
        <v>356319.94160435401</v>
      </c>
      <c r="V161" s="5">
        <v>181719.22160435401</v>
      </c>
      <c r="W161" s="5">
        <v>0</v>
      </c>
      <c r="X161" s="5"/>
    </row>
    <row r="162" spans="1:44" x14ac:dyDescent="0.25">
      <c r="A162">
        <v>163788</v>
      </c>
      <c r="B162" t="s">
        <v>30</v>
      </c>
      <c r="C162" t="s">
        <v>355</v>
      </c>
      <c r="D162">
        <v>8562520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s="5">
        <v>1320.439314</v>
      </c>
      <c r="K162" t="s">
        <v>27</v>
      </c>
      <c r="L162" s="5">
        <v>4239.5061908399994</v>
      </c>
      <c r="M162" t="s">
        <v>356</v>
      </c>
      <c r="N162" s="12">
        <v>84</v>
      </c>
      <c r="O162">
        <v>1</v>
      </c>
      <c r="P162" t="s">
        <v>204</v>
      </c>
      <c r="Q162" s="5">
        <v>1921</v>
      </c>
      <c r="R162" s="5">
        <v>1809.00186018</v>
      </c>
      <c r="S162" s="10">
        <v>3603.580262214</v>
      </c>
      <c r="T162" s="8">
        <v>0.48833108579988582</v>
      </c>
      <c r="U162" s="5">
        <v>302700.74202597601</v>
      </c>
      <c r="V162" s="5">
        <v>147818.18202597601</v>
      </c>
      <c r="W162" s="5">
        <v>3034.7</v>
      </c>
      <c r="X162" s="8">
        <f>1-(S162/W162)</f>
        <v>-0.18745848426994427</v>
      </c>
      <c r="AB162">
        <f>A162</f>
        <v>163788</v>
      </c>
      <c r="AC162">
        <f>IFERROR(IF(OR(NOT(ISNUMBER(S162)),NOT(ISNUMBER(W162))),"",IF(OR(S162&lt;=0,W162&lt;=0),"",(1-S162/W162)*100)),"")</f>
        <v>-18.745848426994428</v>
      </c>
      <c r="AD162">
        <f>IF(AC162="","",(MAX(S162,W162)/MIN(S162,W162)-1)*100)</f>
        <v>18.745848426994428</v>
      </c>
      <c r="AE162">
        <f>IF(AC162="","",ABS(W162-S162))</f>
        <v>568.88026221400014</v>
      </c>
      <c r="AF162">
        <f>IF(AC162="","",IF(AND(AE162&lt;MAX(Расч!$B$11,S162*Расч!$B$12),IF(AD162&lt;Расч!$B$7,0,IF(AD162&lt;Расч!$B$8,1,IF(AD162&lt;Расч!$B$9,2,IF(AD162&lt;Расч!$B$10,3,4))))&gt;1),1,IF(AD162&lt;Расч!$B$7,0,IF(AD162&lt;Расч!$B$8,1,IF(AD162&lt;Расч!$B$9,2,IF(AD162&lt;Расч!$B$10,3,4))))))</f>
        <v>0</v>
      </c>
      <c r="AK162">
        <f>IF(AC162="","",AC162)</f>
        <v>-18.745848426994428</v>
      </c>
      <c r="AL162">
        <f>IF(AE162="","",AE162)</f>
        <v>568.88026221400014</v>
      </c>
      <c r="AM162">
        <f>IF(AF162="","",AF162)</f>
        <v>0</v>
      </c>
      <c r="AN162" t="str">
        <f>IF(AM162="","нет данных",CHOOSE(AM162+1,"Норма","Лёгкое отклонение","Заметный разброс","Выброс","Экстремальный выброс"))</f>
        <v>Норма</v>
      </c>
      <c r="AO162">
        <f>IF(OR(AC162="",NOT(ISNUMBER(N162))),0,MAX(N162,0))</f>
        <v>84</v>
      </c>
      <c r="AP162">
        <f>IF(AC162="",0,AC162*AO162)</f>
        <v>-1574.6512678675319</v>
      </c>
      <c r="AQ162">
        <f>IF(OR(AC162="",NOT(ISNUMBER(O162))),0,MAX(O162,0)*S162)</f>
        <v>3603.580262214</v>
      </c>
      <c r="AR162">
        <f>IF(AC162="",0,AC162*AQ162)</f>
        <v>-67552.169389972478</v>
      </c>
    </row>
    <row r="163" spans="1:44" x14ac:dyDescent="0.25">
      <c r="A163">
        <v>163767</v>
      </c>
      <c r="B163" t="s">
        <v>30</v>
      </c>
      <c r="C163" t="s">
        <v>357</v>
      </c>
      <c r="D163" t="s">
        <v>715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s="5">
        <v>1298.9014079999999</v>
      </c>
      <c r="K163" t="s">
        <v>27</v>
      </c>
      <c r="L163" s="5">
        <v>4169.9926166400001</v>
      </c>
      <c r="M163" t="s">
        <v>358</v>
      </c>
      <c r="N163" s="12">
        <v>84</v>
      </c>
      <c r="O163">
        <v>2</v>
      </c>
      <c r="P163" t="s">
        <v>204</v>
      </c>
      <c r="Q163" s="5">
        <v>1941</v>
      </c>
      <c r="R163" s="5">
        <v>1779.4949289599999</v>
      </c>
      <c r="S163" s="10">
        <v>3544.4937241440002</v>
      </c>
      <c r="T163" s="8">
        <v>0.472828802807019</v>
      </c>
      <c r="U163" s="5">
        <v>297737.47282809601</v>
      </c>
      <c r="V163" s="5">
        <v>140778.85282809599</v>
      </c>
      <c r="W163" s="5">
        <v>0</v>
      </c>
      <c r="X163" s="5"/>
    </row>
    <row r="164" spans="1:44" x14ac:dyDescent="0.25">
      <c r="A164">
        <v>170239</v>
      </c>
      <c r="B164" t="s">
        <v>20</v>
      </c>
      <c r="C164" t="s">
        <v>359</v>
      </c>
      <c r="D164" t="s">
        <v>744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s="5">
        <v>1980.9350979999999</v>
      </c>
      <c r="K164" t="s">
        <v>27</v>
      </c>
      <c r="L164" s="5">
        <v>6359.2764078299997</v>
      </c>
      <c r="M164" t="s">
        <v>360</v>
      </c>
      <c r="N164" s="12">
        <v>83</v>
      </c>
      <c r="O164">
        <v>0</v>
      </c>
      <c r="P164" t="s">
        <v>204</v>
      </c>
      <c r="Q164" s="5">
        <v>0</v>
      </c>
      <c r="R164" s="5">
        <v>2713.881084260001</v>
      </c>
      <c r="S164" s="10">
        <v>5405.3849466554993</v>
      </c>
      <c r="T164" s="8">
        <v>0.51337693319556976</v>
      </c>
      <c r="U164" s="5">
        <v>448646.95057240652</v>
      </c>
      <c r="V164" s="5">
        <v>230324.99557240639</v>
      </c>
      <c r="W164" s="5">
        <v>0</v>
      </c>
      <c r="X164" s="5"/>
    </row>
    <row r="165" spans="1:44" x14ac:dyDescent="0.25">
      <c r="A165">
        <v>1752053</v>
      </c>
      <c r="B165" t="s">
        <v>20</v>
      </c>
      <c r="C165" t="s">
        <v>361</v>
      </c>
      <c r="D165" t="s">
        <v>744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s="5">
        <v>1629.1493</v>
      </c>
      <c r="K165" t="s">
        <v>27</v>
      </c>
      <c r="L165" s="5">
        <v>5228.8589917199997</v>
      </c>
      <c r="M165" t="s">
        <v>362</v>
      </c>
      <c r="N165" s="12">
        <v>82</v>
      </c>
      <c r="O165">
        <v>4</v>
      </c>
      <c r="P165" t="s">
        <v>204</v>
      </c>
      <c r="Q165" s="5">
        <v>2265</v>
      </c>
      <c r="R165" s="5">
        <v>2231.9345410000001</v>
      </c>
      <c r="S165" s="10">
        <v>4444.5301429619994</v>
      </c>
      <c r="T165" s="8">
        <v>0.50842835356630856</v>
      </c>
      <c r="U165" s="5">
        <v>364451.47172288393</v>
      </c>
      <c r="V165" s="5">
        <v>185297.46172288389</v>
      </c>
      <c r="W165" s="5">
        <v>0</v>
      </c>
      <c r="X165" s="5"/>
    </row>
    <row r="166" spans="1:44" x14ac:dyDescent="0.25">
      <c r="A166">
        <v>1859653</v>
      </c>
      <c r="B166" t="s">
        <v>30</v>
      </c>
      <c r="C166" t="s">
        <v>363</v>
      </c>
      <c r="D166" t="s">
        <v>744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s="5">
        <v>1744.0181319999999</v>
      </c>
      <c r="K166" t="s">
        <v>27</v>
      </c>
      <c r="L166" s="5">
        <v>4553.8068513300004</v>
      </c>
      <c r="M166" t="s">
        <v>364</v>
      </c>
      <c r="N166" s="12">
        <v>80</v>
      </c>
      <c r="O166">
        <v>8</v>
      </c>
      <c r="P166" t="s">
        <v>204</v>
      </c>
      <c r="Q166" s="5">
        <v>2623</v>
      </c>
      <c r="R166" s="5">
        <v>2389.30484084</v>
      </c>
      <c r="S166" s="10">
        <v>3870.735823630499</v>
      </c>
      <c r="T166" s="8">
        <v>0.34948931812186518</v>
      </c>
      <c r="U166" s="5">
        <v>309658.86589043989</v>
      </c>
      <c r="V166" s="5">
        <v>108222.46589044</v>
      </c>
      <c r="W166" s="5">
        <v>0</v>
      </c>
      <c r="X166" s="5"/>
    </row>
    <row r="167" spans="1:44" x14ac:dyDescent="0.25">
      <c r="A167">
        <v>1859657</v>
      </c>
      <c r="B167" t="s">
        <v>20</v>
      </c>
      <c r="C167" t="s">
        <v>365</v>
      </c>
      <c r="D167" t="s">
        <v>744</v>
      </c>
      <c r="E167" t="s">
        <v>22</v>
      </c>
      <c r="F167" t="s">
        <v>23</v>
      </c>
      <c r="G167" t="s">
        <v>24</v>
      </c>
      <c r="H167" t="s">
        <v>25</v>
      </c>
      <c r="I167" t="s">
        <v>26</v>
      </c>
      <c r="J167" s="5">
        <v>1504.8921499999999</v>
      </c>
      <c r="K167" t="s">
        <v>27</v>
      </c>
      <c r="L167" s="5">
        <v>4674.6680139600003</v>
      </c>
      <c r="M167" t="s">
        <v>366</v>
      </c>
      <c r="N167" s="12">
        <v>78</v>
      </c>
      <c r="O167">
        <v>6</v>
      </c>
      <c r="P167" t="s">
        <v>204</v>
      </c>
      <c r="Q167" s="5">
        <v>2229</v>
      </c>
      <c r="R167" s="5">
        <v>2061.7022455000001</v>
      </c>
      <c r="S167" s="10">
        <v>3973.4678118659999</v>
      </c>
      <c r="T167" s="8">
        <v>0.45953632905069519</v>
      </c>
      <c r="U167" s="5">
        <v>309930.489325548</v>
      </c>
      <c r="V167" s="5">
        <v>142424.31932554799</v>
      </c>
      <c r="W167" s="5">
        <v>0</v>
      </c>
      <c r="X167" s="5"/>
    </row>
    <row r="168" spans="1:44" x14ac:dyDescent="0.25">
      <c r="A168">
        <v>1853609</v>
      </c>
      <c r="B168" t="s">
        <v>252</v>
      </c>
      <c r="C168" t="s">
        <v>367</v>
      </c>
      <c r="D168" t="s">
        <v>744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s="5">
        <v>1754.5109580000001</v>
      </c>
      <c r="K168" t="s">
        <v>27</v>
      </c>
      <c r="L168" s="5">
        <v>3554.215351589999</v>
      </c>
      <c r="M168" t="s">
        <v>368</v>
      </c>
      <c r="N168" s="12">
        <v>78</v>
      </c>
      <c r="O168">
        <v>0</v>
      </c>
      <c r="P168" t="s">
        <v>204</v>
      </c>
      <c r="Q168" s="5">
        <v>0</v>
      </c>
      <c r="R168" s="5">
        <v>2403.6800124599999</v>
      </c>
      <c r="S168" s="10">
        <v>3021.0830488514989</v>
      </c>
      <c r="T168" s="8">
        <v>0.20436480110211211</v>
      </c>
      <c r="U168" s="5">
        <v>235644.47781041701</v>
      </c>
      <c r="V168" s="5">
        <v>48157.436838536923</v>
      </c>
      <c r="W168" s="5">
        <v>5548.6</v>
      </c>
      <c r="X168" s="8">
        <f>1-(S168/W168)</f>
        <v>0.45552336646154012</v>
      </c>
      <c r="AB168">
        <f>A168</f>
        <v>1853609</v>
      </c>
      <c r="AC168">
        <f>IFERROR(IF(OR(NOT(ISNUMBER(S168)),NOT(ISNUMBER(W168))),"",IF(OR(S168&lt;=0,W168&lt;=0),"",(1-S168/W168)*100)),"")</f>
        <v>45.552336646154011</v>
      </c>
      <c r="AD168">
        <f>IF(AC168="","",(MAX(S168,W168)/MIN(S168,W168)-1)*100)</f>
        <v>83.662610735225158</v>
      </c>
      <c r="AE168">
        <f>IF(AC168="","",ABS(W168-S168))</f>
        <v>2527.5169511485014</v>
      </c>
      <c r="AF168">
        <f>IF(AC168="","",IF(AND(AE168&lt;MAX(Расч!$B$11,S168*Расч!$B$12),IF(AD168&lt;Расч!$B$7,0,IF(AD168&lt;Расч!$B$8,1,IF(AD168&lt;Расч!$B$9,2,IF(AD168&lt;Расч!$B$10,3,4))))&gt;1),1,IF(AD168&lt;Расч!$B$7,0,IF(AD168&lt;Расч!$B$8,1,IF(AD168&lt;Расч!$B$9,2,IF(AD168&lt;Расч!$B$10,3,4))))))</f>
        <v>4</v>
      </c>
      <c r="AK168">
        <f>IF(AC168="","",AC168)</f>
        <v>45.552336646154011</v>
      </c>
      <c r="AL168">
        <f>IF(AE168="","",AE168)</f>
        <v>2527.5169511485014</v>
      </c>
      <c r="AM168">
        <f>IF(AF168="","",AF168)</f>
        <v>4</v>
      </c>
      <c r="AN168" t="str">
        <f>IF(AM168="","нет данных",CHOOSE(AM168+1,"Норма","Лёгкое отклонение","Заметный разброс","Выброс","Экстремальный выброс"))</f>
        <v>Экстремальный выброс</v>
      </c>
      <c r="AO168">
        <f>IF(OR(AC168="",NOT(ISNUMBER(N168))),0,MAX(N168,0))</f>
        <v>78</v>
      </c>
      <c r="AP168">
        <f>IF(AC168="",0,AC168*AO168)</f>
        <v>3553.082258400013</v>
      </c>
      <c r="AQ168">
        <f>IF(OR(AC168="",NOT(ISNUMBER(O168))),0,MAX(O168,0)*S168)</f>
        <v>0</v>
      </c>
      <c r="AR168">
        <f>IF(AC168="",0,AC168*AQ168)</f>
        <v>0</v>
      </c>
    </row>
    <row r="169" spans="1:44" x14ac:dyDescent="0.25">
      <c r="A169">
        <v>130914</v>
      </c>
      <c r="B169" t="s">
        <v>20</v>
      </c>
      <c r="C169" t="s">
        <v>369</v>
      </c>
      <c r="D169" t="s">
        <v>744</v>
      </c>
      <c r="E169" t="s">
        <v>22</v>
      </c>
      <c r="F169" t="s">
        <v>23</v>
      </c>
      <c r="G169" t="s">
        <v>24</v>
      </c>
      <c r="H169" t="s">
        <v>25</v>
      </c>
      <c r="I169" t="s">
        <v>26</v>
      </c>
      <c r="J169" s="5">
        <v>1361.8583639999999</v>
      </c>
      <c r="K169" t="s">
        <v>27</v>
      </c>
      <c r="L169" s="5">
        <v>4473.8319978600002</v>
      </c>
      <c r="M169" t="s">
        <v>370</v>
      </c>
      <c r="N169" s="12">
        <v>76</v>
      </c>
      <c r="O169">
        <v>39</v>
      </c>
      <c r="P169" t="s">
        <v>204</v>
      </c>
      <c r="Q169" s="5">
        <v>1812</v>
      </c>
      <c r="R169" s="5">
        <v>1865.7459586800001</v>
      </c>
      <c r="S169" s="10">
        <v>3802.7571981810001</v>
      </c>
      <c r="T169" s="8">
        <v>0.54448139168725918</v>
      </c>
      <c r="U169" s="5">
        <v>289009.54706175602</v>
      </c>
      <c r="V169" s="5">
        <v>157360.32039508931</v>
      </c>
      <c r="W169" s="5">
        <v>0</v>
      </c>
      <c r="X169" s="5"/>
    </row>
    <row r="170" spans="1:44" x14ac:dyDescent="0.25">
      <c r="A170">
        <v>1714655</v>
      </c>
      <c r="B170" t="s">
        <v>20</v>
      </c>
      <c r="C170" t="s">
        <v>371</v>
      </c>
      <c r="D170" t="s">
        <v>797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s="5">
        <v>1482.8019899999999</v>
      </c>
      <c r="K170" t="s">
        <v>27</v>
      </c>
      <c r="L170" s="5">
        <v>4621.3856881199999</v>
      </c>
      <c r="M170" t="s">
        <v>372</v>
      </c>
      <c r="N170" s="12">
        <v>76</v>
      </c>
      <c r="O170">
        <v>5</v>
      </c>
      <c r="P170" t="s">
        <v>204</v>
      </c>
      <c r="Q170" s="5">
        <v>2189</v>
      </c>
      <c r="R170" s="5">
        <v>2031.4387263000001</v>
      </c>
      <c r="S170" s="10">
        <v>3928.1778349020001</v>
      </c>
      <c r="T170" s="8">
        <v>0.46511268371524239</v>
      </c>
      <c r="U170" s="5">
        <v>298541.51545255189</v>
      </c>
      <c r="V170" s="5">
        <v>138855.44545255191</v>
      </c>
      <c r="W170" s="5">
        <v>0</v>
      </c>
      <c r="X170" s="5"/>
    </row>
    <row r="171" spans="1:44" x14ac:dyDescent="0.25">
      <c r="A171">
        <v>130880</v>
      </c>
      <c r="B171" t="s">
        <v>20</v>
      </c>
      <c r="C171" t="s">
        <v>373</v>
      </c>
      <c r="D171">
        <v>9907811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s="5">
        <v>1510.966944</v>
      </c>
      <c r="K171" t="s">
        <v>27</v>
      </c>
      <c r="L171" s="5">
        <v>4851.3968594999997</v>
      </c>
      <c r="M171" t="s">
        <v>374</v>
      </c>
      <c r="N171" s="12">
        <v>76</v>
      </c>
      <c r="O171">
        <v>6</v>
      </c>
      <c r="P171" t="s">
        <v>204</v>
      </c>
      <c r="Q171" s="5">
        <v>2178</v>
      </c>
      <c r="R171" s="5">
        <v>2070.02471328</v>
      </c>
      <c r="S171" s="10">
        <v>4123.6873305749996</v>
      </c>
      <c r="T171" s="8">
        <v>0.49341697550364111</v>
      </c>
      <c r="U171" s="5">
        <v>313400.23712369998</v>
      </c>
      <c r="V171" s="5">
        <v>154636.99712370001</v>
      </c>
      <c r="W171" s="5">
        <v>5470.91</v>
      </c>
      <c r="X171" s="8">
        <f>1-(S171/W171)</f>
        <v>0.24625202560908521</v>
      </c>
      <c r="AB171">
        <f>A171</f>
        <v>130880</v>
      </c>
      <c r="AC171">
        <f>IFERROR(IF(OR(NOT(ISNUMBER(S171)),NOT(ISNUMBER(W171))),"",IF(OR(S171&lt;=0,W171&lt;=0),"",(1-S171/W171)*100)),"")</f>
        <v>24.625202560908519</v>
      </c>
      <c r="AD171">
        <f>IF(AC171="","",(MAX(S171,W171)/MIN(S171,W171)-1)*100)</f>
        <v>32.670339951238404</v>
      </c>
      <c r="AE171">
        <f>IF(AC171="","",ABS(W171-S171))</f>
        <v>1347.2226694250003</v>
      </c>
      <c r="AF171">
        <f>IF(AC171="","",IF(AND(AE171&lt;MAX(Расч!$B$11,S171*Расч!$B$12),IF(AD171&lt;Расч!$B$7,0,IF(AD171&lt;Расч!$B$8,1,IF(AD171&lt;Расч!$B$9,2,IF(AD171&lt;Расч!$B$10,3,4))))&gt;1),1,IF(AD171&lt;Расч!$B$7,0,IF(AD171&lt;Расч!$B$8,1,IF(AD171&lt;Расч!$B$9,2,IF(AD171&lt;Расч!$B$10,3,4))))))</f>
        <v>1</v>
      </c>
      <c r="AK171">
        <f>IF(AC171="","",AC171)</f>
        <v>24.625202560908519</v>
      </c>
      <c r="AL171">
        <f>IF(AE171="","",AE171)</f>
        <v>1347.2226694250003</v>
      </c>
      <c r="AM171">
        <f>IF(AF171="","",AF171)</f>
        <v>1</v>
      </c>
      <c r="AN171" t="str">
        <f>IF(AM171="","нет данных",CHOOSE(AM171+1,"Норма","Лёгкое отклонение","Заметный разброс","Выброс","Экстремальный выброс"))</f>
        <v>Лёгкое отклонение</v>
      </c>
      <c r="AO171">
        <f>IF(OR(AC171="",NOT(ISNUMBER(N171))),0,MAX(N171,0))</f>
        <v>76</v>
      </c>
      <c r="AP171">
        <f>IF(AC171="",0,AC171*AO171)</f>
        <v>1871.5153946290475</v>
      </c>
      <c r="AQ171">
        <f>IF(OR(AC171="",NOT(ISNUMBER(O171))),0,MAX(O171,0)*S171)</f>
        <v>24742.123983449997</v>
      </c>
      <c r="AR171">
        <f>IF(AC171="",0,AC171*AQ171)</f>
        <v>609279.81487956899</v>
      </c>
    </row>
    <row r="172" spans="1:44" x14ac:dyDescent="0.25">
      <c r="A172">
        <v>1859665</v>
      </c>
      <c r="B172" t="s">
        <v>20</v>
      </c>
      <c r="C172" t="s">
        <v>375</v>
      </c>
      <c r="D172" t="s">
        <v>744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 s="5">
        <v>2586.757736</v>
      </c>
      <c r="K172" t="s">
        <v>27</v>
      </c>
      <c r="L172" s="5">
        <v>7767.4399324800006</v>
      </c>
      <c r="M172" t="s">
        <v>376</v>
      </c>
      <c r="N172" s="12">
        <v>76</v>
      </c>
      <c r="O172">
        <v>4</v>
      </c>
      <c r="P172" t="s">
        <v>204</v>
      </c>
      <c r="Q172" s="5">
        <v>3448</v>
      </c>
      <c r="R172" s="5">
        <v>3543.85809832</v>
      </c>
      <c r="S172" s="10">
        <v>6602.3239426079999</v>
      </c>
      <c r="T172" s="8">
        <v>0.4632408029164149</v>
      </c>
      <c r="U172" s="5">
        <v>501776.61963820801</v>
      </c>
      <c r="V172" s="5">
        <v>232443.404165888</v>
      </c>
      <c r="W172" s="5">
        <v>0</v>
      </c>
      <c r="X172" s="5"/>
    </row>
    <row r="173" spans="1:44" x14ac:dyDescent="0.25">
      <c r="A173">
        <v>170255</v>
      </c>
      <c r="B173" t="s">
        <v>20</v>
      </c>
      <c r="C173" t="s">
        <v>377</v>
      </c>
      <c r="D173">
        <v>9779110</v>
      </c>
      <c r="E173" t="s">
        <v>22</v>
      </c>
      <c r="F173" t="s">
        <v>23</v>
      </c>
      <c r="G173" t="s">
        <v>24</v>
      </c>
      <c r="H173" t="s">
        <v>25</v>
      </c>
      <c r="I173" t="s">
        <v>26</v>
      </c>
      <c r="J173" s="5">
        <v>1386.1575399999999</v>
      </c>
      <c r="K173" t="s">
        <v>27</v>
      </c>
      <c r="L173" s="5">
        <v>3693.9444843599999</v>
      </c>
      <c r="M173" t="s">
        <v>378</v>
      </c>
      <c r="N173" s="12">
        <v>74</v>
      </c>
      <c r="O173">
        <v>19</v>
      </c>
      <c r="P173" t="s">
        <v>204</v>
      </c>
      <c r="Q173" s="5">
        <v>2090</v>
      </c>
      <c r="R173" s="5">
        <v>1899.0358298000001</v>
      </c>
      <c r="S173" s="10">
        <v>3139.852811706</v>
      </c>
      <c r="T173" s="8">
        <v>0.36030141717118641</v>
      </c>
      <c r="U173" s="5">
        <v>232349.10806624399</v>
      </c>
      <c r="V173" s="5">
        <v>83715.712914728836</v>
      </c>
      <c r="W173" s="5">
        <v>0</v>
      </c>
      <c r="X173" s="5"/>
    </row>
    <row r="174" spans="1:44" x14ac:dyDescent="0.25">
      <c r="A174">
        <v>1853611</v>
      </c>
      <c r="B174" t="s">
        <v>294</v>
      </c>
      <c r="C174" t="s">
        <v>379</v>
      </c>
      <c r="D174" t="s">
        <v>744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s="5">
        <v>1218.824578</v>
      </c>
      <c r="K174" t="s">
        <v>27</v>
      </c>
      <c r="L174" s="5">
        <v>2632.5269953500001</v>
      </c>
      <c r="M174" t="s">
        <v>380</v>
      </c>
      <c r="N174" s="12">
        <v>74</v>
      </c>
      <c r="O174">
        <v>0</v>
      </c>
      <c r="P174" t="s">
        <v>204</v>
      </c>
      <c r="Q174" s="5">
        <v>0</v>
      </c>
      <c r="R174" s="5">
        <v>1669.78967186</v>
      </c>
      <c r="S174" s="10">
        <v>2237.6479460475002</v>
      </c>
      <c r="T174" s="8">
        <v>0.25377462759078973</v>
      </c>
      <c r="U174" s="5">
        <v>165585.94800751499</v>
      </c>
      <c r="V174" s="5">
        <v>42021.512289874983</v>
      </c>
      <c r="W174" s="5">
        <v>2651.14</v>
      </c>
      <c r="X174" s="8">
        <f>1-(S174/W174)</f>
        <v>0.15596764182672351</v>
      </c>
      <c r="AB174">
        <f>A174</f>
        <v>1853611</v>
      </c>
      <c r="AC174">
        <f>IFERROR(IF(OR(NOT(ISNUMBER(S174)),NOT(ISNUMBER(W174))),"",IF(OR(S174&lt;=0,W174&lt;=0),"",(1-S174/W174)*100)),"")</f>
        <v>15.596764182672352</v>
      </c>
      <c r="AD174">
        <f>IF(AC174="","",(MAX(S174,W174)/MIN(S174,W174)-1)*100)</f>
        <v>18.478869952839403</v>
      </c>
      <c r="AE174">
        <f>IF(AC174="","",ABS(W174-S174))</f>
        <v>413.49205395249965</v>
      </c>
      <c r="AF174">
        <f>IF(AC174="","",IF(AND(AE174&lt;MAX(Расч!$B$11,S174*Расч!$B$12),IF(AD174&lt;Расч!$B$7,0,IF(AD174&lt;Расч!$B$8,1,IF(AD174&lt;Расч!$B$9,2,IF(AD174&lt;Расч!$B$10,3,4))))&gt;1),1,IF(AD174&lt;Расч!$B$7,0,IF(AD174&lt;Расч!$B$8,1,IF(AD174&lt;Расч!$B$9,2,IF(AD174&lt;Расч!$B$10,3,4))))))</f>
        <v>0</v>
      </c>
      <c r="AK174">
        <f>IF(AC174="","",AC174)</f>
        <v>15.596764182672352</v>
      </c>
      <c r="AL174">
        <f>IF(AE174="","",AE174)</f>
        <v>413.49205395249965</v>
      </c>
      <c r="AM174">
        <f>IF(AF174="","",AF174)</f>
        <v>0</v>
      </c>
      <c r="AN174" t="str">
        <f>IF(AM174="","нет данных",CHOOSE(AM174+1,"Норма","Лёгкое отклонение","Заметный разброс","Выброс","Экстремальный выброс"))</f>
        <v>Норма</v>
      </c>
      <c r="AO174">
        <f>IF(OR(AC174="",NOT(ISNUMBER(N174))),0,MAX(N174,0))</f>
        <v>74</v>
      </c>
      <c r="AP174">
        <f>IF(AC174="",0,AC174*AO174)</f>
        <v>1154.1605495177541</v>
      </c>
      <c r="AQ174">
        <f>IF(OR(AC174="",NOT(ISNUMBER(O174))),0,MAX(O174,0)*S174)</f>
        <v>0</v>
      </c>
      <c r="AR174">
        <f>IF(AC174="",0,AC174*AQ174)</f>
        <v>0</v>
      </c>
    </row>
    <row r="175" spans="1:44" x14ac:dyDescent="0.25">
      <c r="A175">
        <v>156227</v>
      </c>
      <c r="B175" t="s">
        <v>30</v>
      </c>
      <c r="C175" t="s">
        <v>381</v>
      </c>
      <c r="D175" t="s">
        <v>744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s="5">
        <v>1467.891132</v>
      </c>
      <c r="K175" t="s">
        <v>27</v>
      </c>
      <c r="L175" s="5">
        <v>4712.3012248200002</v>
      </c>
      <c r="M175" t="s">
        <v>382</v>
      </c>
      <c r="N175" s="12">
        <v>73</v>
      </c>
      <c r="O175">
        <v>9</v>
      </c>
      <c r="P175" t="s">
        <v>204</v>
      </c>
      <c r="Q175" s="5">
        <v>2014</v>
      </c>
      <c r="R175" s="5">
        <v>2011.0108508400001</v>
      </c>
      <c r="S175" s="10">
        <v>4005.4560410969998</v>
      </c>
      <c r="T175" s="8">
        <v>0.51842548369916241</v>
      </c>
      <c r="U175" s="5">
        <v>292398.29100008099</v>
      </c>
      <c r="V175" s="5">
        <v>151586.72544452551</v>
      </c>
      <c r="W175" s="5">
        <v>0</v>
      </c>
      <c r="X175" s="5"/>
    </row>
    <row r="176" spans="1:44" x14ac:dyDescent="0.25">
      <c r="A176">
        <v>130942</v>
      </c>
      <c r="B176" t="s">
        <v>20</v>
      </c>
      <c r="C176" t="s">
        <v>383</v>
      </c>
      <c r="D176" t="s">
        <v>744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s="5">
        <v>1767.765054</v>
      </c>
      <c r="K176" t="s">
        <v>27</v>
      </c>
      <c r="L176" s="5">
        <v>5539.4442715200003</v>
      </c>
      <c r="M176" t="s">
        <v>384</v>
      </c>
      <c r="N176" s="12">
        <v>70</v>
      </c>
      <c r="O176">
        <v>3</v>
      </c>
      <c r="P176" t="s">
        <v>204</v>
      </c>
      <c r="Q176" s="5">
        <v>2426</v>
      </c>
      <c r="R176" s="5">
        <v>2421.8381239800001</v>
      </c>
      <c r="S176" s="10">
        <v>4708.5276307920003</v>
      </c>
      <c r="T176" s="8">
        <v>0.48004234190122119</v>
      </c>
      <c r="U176" s="5">
        <v>329596.93415544002</v>
      </c>
      <c r="V176" s="5">
        <v>158220.48415544</v>
      </c>
      <c r="W176" s="5">
        <v>0</v>
      </c>
      <c r="X176" s="5"/>
    </row>
    <row r="177" spans="1:44" x14ac:dyDescent="0.25">
      <c r="A177">
        <v>1853632</v>
      </c>
      <c r="B177" t="s">
        <v>252</v>
      </c>
      <c r="C177" t="s">
        <v>385</v>
      </c>
      <c r="D177" t="s">
        <v>744</v>
      </c>
      <c r="E177" t="s">
        <v>22</v>
      </c>
      <c r="F177" t="s">
        <v>23</v>
      </c>
      <c r="G177" t="s">
        <v>24</v>
      </c>
      <c r="H177" t="s">
        <v>25</v>
      </c>
      <c r="I177" t="s">
        <v>26</v>
      </c>
      <c r="J177" s="5">
        <v>2203.4934600000001</v>
      </c>
      <c r="K177" t="s">
        <v>27</v>
      </c>
      <c r="L177" s="5">
        <v>5752.8817631399997</v>
      </c>
      <c r="M177" t="s">
        <v>386</v>
      </c>
      <c r="N177" s="12">
        <v>70</v>
      </c>
      <c r="O177">
        <v>4</v>
      </c>
      <c r="P177" t="s">
        <v>204</v>
      </c>
      <c r="Q177" s="5">
        <v>3282</v>
      </c>
      <c r="R177" s="5">
        <v>3018.786040200001</v>
      </c>
      <c r="S177" s="10">
        <v>4889.9494986689997</v>
      </c>
      <c r="T177" s="8">
        <v>0.35719888296278562</v>
      </c>
      <c r="U177" s="5">
        <v>342296.46490682999</v>
      </c>
      <c r="V177" s="5">
        <v>122267.91490683</v>
      </c>
      <c r="W177" s="5">
        <v>0</v>
      </c>
      <c r="X177" s="5"/>
    </row>
    <row r="178" spans="1:44" x14ac:dyDescent="0.25">
      <c r="A178">
        <v>1752064</v>
      </c>
      <c r="B178" t="s">
        <v>30</v>
      </c>
      <c r="C178" t="s">
        <v>387</v>
      </c>
      <c r="D178" t="s">
        <v>744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s="5">
        <v>1753.9587039999999</v>
      </c>
      <c r="K178" t="s">
        <v>27</v>
      </c>
      <c r="L178" s="5">
        <v>5632.1575730700006</v>
      </c>
      <c r="M178" t="s">
        <v>388</v>
      </c>
      <c r="N178" s="12">
        <v>68</v>
      </c>
      <c r="O178">
        <v>0</v>
      </c>
      <c r="P178" t="s">
        <v>204</v>
      </c>
      <c r="Q178" s="5">
        <v>0</v>
      </c>
      <c r="R178" s="5">
        <v>2402.92342448</v>
      </c>
      <c r="S178" s="10">
        <v>4787.3339371095008</v>
      </c>
      <c r="T178" s="8">
        <v>0.49806646955344019</v>
      </c>
      <c r="U178" s="5">
        <v>325538.70772344607</v>
      </c>
      <c r="V178" s="5">
        <v>162139.91485880601</v>
      </c>
      <c r="W178" s="5">
        <v>5477.11</v>
      </c>
      <c r="X178" s="8">
        <f>1-(S178/W178)</f>
        <v>0.12593796051028716</v>
      </c>
      <c r="AB178">
        <f>A178</f>
        <v>1752064</v>
      </c>
      <c r="AC178">
        <f>IFERROR(IF(OR(NOT(ISNUMBER(S178)),NOT(ISNUMBER(W178))),"",IF(OR(S178&lt;=0,W178&lt;=0),"",(1-S178/W178)*100)),"")</f>
        <v>12.593796051028717</v>
      </c>
      <c r="AD178">
        <f>IF(AC178="","",(MAX(S178,W178)/MIN(S178,W178)-1)*100)</f>
        <v>14.408354878769369</v>
      </c>
      <c r="AE178">
        <f>IF(AC178="","",ABS(W178-S178))</f>
        <v>689.77606289049891</v>
      </c>
      <c r="AF178">
        <f>IF(AC178="","",IF(AND(AE178&lt;MAX(Расч!$B$11,S178*Расч!$B$12),IF(AD178&lt;Расч!$B$7,0,IF(AD178&lt;Расч!$B$8,1,IF(AD178&lt;Расч!$B$9,2,IF(AD178&lt;Расч!$B$10,3,4))))&gt;1),1,IF(AD178&lt;Расч!$B$7,0,IF(AD178&lt;Расч!$B$8,1,IF(AD178&lt;Расч!$B$9,2,IF(AD178&lt;Расч!$B$10,3,4))))))</f>
        <v>0</v>
      </c>
      <c r="AK178">
        <f>IF(AC178="","",AC178)</f>
        <v>12.593796051028717</v>
      </c>
      <c r="AL178">
        <f>IF(AE178="","",AE178)</f>
        <v>689.77606289049891</v>
      </c>
      <c r="AM178">
        <f>IF(AF178="","",AF178)</f>
        <v>0</v>
      </c>
      <c r="AN178" t="str">
        <f>IF(AM178="","нет данных",CHOOSE(AM178+1,"Норма","Лёгкое отклонение","Заметный разброс","Выброс","Экстремальный выброс"))</f>
        <v>Норма</v>
      </c>
      <c r="AO178">
        <f>IF(OR(AC178="",NOT(ISNUMBER(N178))),0,MAX(N178,0))</f>
        <v>68</v>
      </c>
      <c r="AP178">
        <f>IF(AC178="",0,AC178*AO178)</f>
        <v>856.37813146995268</v>
      </c>
      <c r="AQ178">
        <f>IF(OR(AC178="",NOT(ISNUMBER(O178))),0,MAX(O178,0)*S178)</f>
        <v>0</v>
      </c>
      <c r="AR178">
        <f>IF(AC178="",0,AC178*AQ178)</f>
        <v>0</v>
      </c>
    </row>
    <row r="179" spans="1:44" x14ac:dyDescent="0.25">
      <c r="A179">
        <v>130879</v>
      </c>
      <c r="B179" t="s">
        <v>20</v>
      </c>
      <c r="C179" t="s">
        <v>389</v>
      </c>
      <c r="D179" t="s">
        <v>744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s="5">
        <v>1582.7599640000001</v>
      </c>
      <c r="K179" t="s">
        <v>27</v>
      </c>
      <c r="L179" s="5">
        <v>4474.5339822299993</v>
      </c>
      <c r="M179" t="s">
        <v>390</v>
      </c>
      <c r="N179" s="12">
        <v>68</v>
      </c>
      <c r="O179">
        <v>4</v>
      </c>
      <c r="P179" t="s">
        <v>204</v>
      </c>
      <c r="Q179" s="5">
        <v>2317</v>
      </c>
      <c r="R179" s="5">
        <v>2168.3811506799998</v>
      </c>
      <c r="S179" s="10">
        <v>3803.3538848955</v>
      </c>
      <c r="T179" s="8">
        <v>0.41522401877123533</v>
      </c>
      <c r="U179" s="5">
        <v>258628.064172894</v>
      </c>
      <c r="V179" s="5">
        <v>107388.584172894</v>
      </c>
      <c r="W179" s="5">
        <v>0</v>
      </c>
      <c r="X179" s="5"/>
    </row>
    <row r="180" spans="1:44" x14ac:dyDescent="0.25">
      <c r="A180">
        <v>130872</v>
      </c>
      <c r="B180" t="s">
        <v>20</v>
      </c>
      <c r="C180" t="s">
        <v>391</v>
      </c>
      <c r="D180">
        <v>9567314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s="5">
        <v>1223.24261</v>
      </c>
      <c r="K180" t="s">
        <v>27</v>
      </c>
      <c r="L180" s="5">
        <v>3927.5854285800001</v>
      </c>
      <c r="M180" t="s">
        <v>392</v>
      </c>
      <c r="N180" s="12">
        <v>66</v>
      </c>
      <c r="O180">
        <v>10</v>
      </c>
      <c r="P180" t="s">
        <v>204</v>
      </c>
      <c r="Q180" s="5">
        <v>1843</v>
      </c>
      <c r="R180" s="5">
        <v>1675.8423757</v>
      </c>
      <c r="S180" s="10">
        <v>3338.4476142929998</v>
      </c>
      <c r="T180" s="8">
        <v>0.47026975678898408</v>
      </c>
      <c r="U180" s="5">
        <v>220337.542543338</v>
      </c>
      <c r="V180" s="5">
        <v>103618.08254333799</v>
      </c>
      <c r="W180" s="5">
        <v>0</v>
      </c>
      <c r="X180" s="5"/>
    </row>
    <row r="181" spans="1:44" x14ac:dyDescent="0.25">
      <c r="A181">
        <v>1714651</v>
      </c>
      <c r="B181" t="s">
        <v>20</v>
      </c>
      <c r="C181" t="s">
        <v>393</v>
      </c>
      <c r="D181" t="s">
        <v>744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s="5">
        <v>1086.8358720000001</v>
      </c>
      <c r="K181" t="s">
        <v>27</v>
      </c>
      <c r="L181" s="5">
        <v>3386.9547342599999</v>
      </c>
      <c r="M181" t="s">
        <v>394</v>
      </c>
      <c r="N181" s="12">
        <v>66</v>
      </c>
      <c r="O181">
        <v>0</v>
      </c>
      <c r="P181" t="s">
        <v>204</v>
      </c>
      <c r="Q181" s="5">
        <v>0</v>
      </c>
      <c r="R181" s="5">
        <v>1488.9651446400001</v>
      </c>
      <c r="S181" s="10">
        <v>2878.9115241210002</v>
      </c>
      <c r="T181" s="8">
        <v>0.48280274257660039</v>
      </c>
      <c r="U181" s="5">
        <v>190008.160591986</v>
      </c>
      <c r="V181" s="5">
        <v>91736.461045745949</v>
      </c>
      <c r="W181" s="5">
        <v>0</v>
      </c>
      <c r="X181" s="5"/>
    </row>
    <row r="182" spans="1:44" x14ac:dyDescent="0.25">
      <c r="A182">
        <v>130947</v>
      </c>
      <c r="B182" t="s">
        <v>20</v>
      </c>
      <c r="C182" t="s">
        <v>395</v>
      </c>
      <c r="D182" t="s">
        <v>798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s="5">
        <v>1414.874748</v>
      </c>
      <c r="K182" t="s">
        <v>27</v>
      </c>
      <c r="L182" s="5">
        <v>4541.4793209299996</v>
      </c>
      <c r="M182" t="s">
        <v>396</v>
      </c>
      <c r="N182" s="12">
        <v>64</v>
      </c>
      <c r="O182">
        <v>2</v>
      </c>
      <c r="P182" t="s">
        <v>204</v>
      </c>
      <c r="Q182" s="5">
        <v>2067</v>
      </c>
      <c r="R182" s="5">
        <v>1938.37840476</v>
      </c>
      <c r="S182" s="10">
        <v>3860.2574227905002</v>
      </c>
      <c r="T182" s="8">
        <v>0.48614048682637462</v>
      </c>
      <c r="U182" s="5">
        <v>247056.47505859201</v>
      </c>
      <c r="V182" s="5">
        <v>120104.155058592</v>
      </c>
      <c r="W182" s="5">
        <v>0</v>
      </c>
      <c r="X182" s="5"/>
    </row>
    <row r="183" spans="1:44" x14ac:dyDescent="0.25">
      <c r="A183">
        <v>1774895</v>
      </c>
      <c r="B183" t="s">
        <v>20</v>
      </c>
      <c r="C183" t="s">
        <v>397</v>
      </c>
      <c r="D183" t="s">
        <v>744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s="5">
        <v>1577.2374239999999</v>
      </c>
      <c r="K183" t="s">
        <v>27</v>
      </c>
      <c r="L183" s="5">
        <v>5063.9611510499999</v>
      </c>
      <c r="M183" t="s">
        <v>398</v>
      </c>
      <c r="N183" s="12">
        <v>64</v>
      </c>
      <c r="O183">
        <v>2</v>
      </c>
      <c r="P183" t="s">
        <v>204</v>
      </c>
      <c r="Q183" s="5">
        <v>2111</v>
      </c>
      <c r="R183" s="5">
        <v>2160.8152708799998</v>
      </c>
      <c r="S183" s="10">
        <v>4304.3669783924997</v>
      </c>
      <c r="T183" s="8">
        <v>0.52891098501148814</v>
      </c>
      <c r="U183" s="5">
        <v>275479.48661711998</v>
      </c>
      <c r="V183" s="5">
        <v>145704.12661712</v>
      </c>
      <c r="W183" s="5">
        <v>4913.3999999999996</v>
      </c>
      <c r="X183" s="8">
        <f>1-(S183/W183)</f>
        <v>0.12395347857033823</v>
      </c>
      <c r="AB183">
        <f>A183</f>
        <v>1774895</v>
      </c>
      <c r="AC183">
        <f>IFERROR(IF(OR(NOT(ISNUMBER(S183)),NOT(ISNUMBER(W183))),"",IF(OR(S183&lt;=0,W183&lt;=0),"",(1-S183/W183)*100)),"")</f>
        <v>12.395347857033823</v>
      </c>
      <c r="AD183">
        <f>IF(AC183="","",(MAX(S183,W183)/MIN(S183,W183)-1)*100)</f>
        <v>14.149189059965984</v>
      </c>
      <c r="AE183">
        <f>IF(AC183="","",ABS(W183-S183))</f>
        <v>609.0330216074999</v>
      </c>
      <c r="AF183">
        <f>IF(AC183="","",IF(AND(AE183&lt;MAX(Расч!$B$11,S183*Расч!$B$12),IF(AD183&lt;Расч!$B$7,0,IF(AD183&lt;Расч!$B$8,1,IF(AD183&lt;Расч!$B$9,2,IF(AD183&lt;Расч!$B$10,3,4))))&gt;1),1,IF(AD183&lt;Расч!$B$7,0,IF(AD183&lt;Расч!$B$8,1,IF(AD183&lt;Расч!$B$9,2,IF(AD183&lt;Расч!$B$10,3,4))))))</f>
        <v>0</v>
      </c>
      <c r="AK183">
        <f>IF(AC183="","",AC183)</f>
        <v>12.395347857033823</v>
      </c>
      <c r="AL183">
        <f>IF(AE183="","",AE183)</f>
        <v>609.0330216074999</v>
      </c>
      <c r="AM183">
        <f>IF(AF183="","",AF183)</f>
        <v>0</v>
      </c>
      <c r="AN183" t="str">
        <f>IF(AM183="","нет данных",CHOOSE(AM183+1,"Норма","Лёгкое отклонение","Заметный разброс","Выброс","Экстремальный выброс"))</f>
        <v>Норма</v>
      </c>
      <c r="AO183">
        <f>IF(OR(AC183="",NOT(ISNUMBER(N183))),0,MAX(N183,0))</f>
        <v>64</v>
      </c>
      <c r="AP183">
        <f>IF(AC183="",0,AC183*AO183)</f>
        <v>793.30226285016465</v>
      </c>
      <c r="AQ183">
        <f>IF(OR(AC183="",NOT(ISNUMBER(O183))),0,MAX(O183,0)*S183)</f>
        <v>8608.7339567849995</v>
      </c>
      <c r="AR183">
        <f>IF(AC183="",0,AC183*AQ183)</f>
        <v>106708.25200300924</v>
      </c>
    </row>
    <row r="184" spans="1:44" x14ac:dyDescent="0.25">
      <c r="A184">
        <v>170249</v>
      </c>
      <c r="B184" t="s">
        <v>20</v>
      </c>
      <c r="C184" t="s">
        <v>399</v>
      </c>
      <c r="D184" t="s">
        <v>799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s="5">
        <v>2143.2977740000001</v>
      </c>
      <c r="K184" t="s">
        <v>27</v>
      </c>
      <c r="L184" s="5">
        <v>6879.7721358299996</v>
      </c>
      <c r="M184" t="s">
        <v>400</v>
      </c>
      <c r="N184" s="12">
        <v>63</v>
      </c>
      <c r="O184">
        <v>9</v>
      </c>
      <c r="P184" t="s">
        <v>204</v>
      </c>
      <c r="Q184" s="5">
        <v>3026</v>
      </c>
      <c r="R184" s="5">
        <v>2936.3179503800002</v>
      </c>
      <c r="S184" s="10">
        <v>5847.8063154554993</v>
      </c>
      <c r="T184" s="8">
        <v>0.50745746730344976</v>
      </c>
      <c r="U184" s="5">
        <v>368411.79787369643</v>
      </c>
      <c r="V184" s="5">
        <v>186953.31787369639</v>
      </c>
      <c r="W184" s="5">
        <v>0</v>
      </c>
      <c r="X184" s="5"/>
    </row>
    <row r="185" spans="1:44" x14ac:dyDescent="0.25">
      <c r="A185">
        <v>1752063</v>
      </c>
      <c r="B185" t="s">
        <v>30</v>
      </c>
      <c r="C185" t="s">
        <v>401</v>
      </c>
      <c r="D185" t="s">
        <v>744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s="5">
        <v>1094.0151739999999</v>
      </c>
      <c r="K185" t="s">
        <v>27</v>
      </c>
      <c r="L185" s="5">
        <v>3410.0859753300001</v>
      </c>
      <c r="M185" t="s">
        <v>402</v>
      </c>
      <c r="N185" s="12">
        <v>60</v>
      </c>
      <c r="O185">
        <v>16</v>
      </c>
      <c r="P185" t="s">
        <v>204</v>
      </c>
      <c r="Q185" s="5">
        <v>1044</v>
      </c>
      <c r="R185" s="5">
        <v>1498.8007883800001</v>
      </c>
      <c r="S185" s="10">
        <v>2898.5730790305001</v>
      </c>
      <c r="T185" s="8">
        <v>0.65579641997401827</v>
      </c>
      <c r="U185" s="5">
        <v>173914.38474183</v>
      </c>
      <c r="V185" s="5">
        <v>114052.43089567609</v>
      </c>
      <c r="W185" s="5">
        <v>0</v>
      </c>
      <c r="X185" s="5"/>
    </row>
    <row r="186" spans="1:44" x14ac:dyDescent="0.25">
      <c r="A186">
        <v>130946</v>
      </c>
      <c r="B186" t="s">
        <v>30</v>
      </c>
      <c r="C186" t="s">
        <v>403</v>
      </c>
      <c r="D186">
        <v>8831620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s="5">
        <v>1143.718034</v>
      </c>
      <c r="K186" t="s">
        <v>27</v>
      </c>
      <c r="L186" s="5">
        <v>3673.29587094</v>
      </c>
      <c r="M186" t="s">
        <v>404</v>
      </c>
      <c r="N186" s="12">
        <v>59</v>
      </c>
      <c r="O186">
        <v>5</v>
      </c>
      <c r="P186" t="s">
        <v>204</v>
      </c>
      <c r="Q186" s="5">
        <v>1581</v>
      </c>
      <c r="R186" s="5">
        <v>1566.8937065800001</v>
      </c>
      <c r="S186" s="10">
        <v>3122.3014902989999</v>
      </c>
      <c r="T186" s="8">
        <v>0.51790433925845725</v>
      </c>
      <c r="U186" s="5">
        <v>184215.78792764101</v>
      </c>
      <c r="V186" s="5">
        <v>95406.155927640983</v>
      </c>
      <c r="W186" s="5">
        <v>2671.6</v>
      </c>
      <c r="X186" s="8">
        <f>1-(S186/W186)</f>
        <v>-0.16870096208227281</v>
      </c>
      <c r="AB186">
        <f>A186</f>
        <v>130946</v>
      </c>
      <c r="AC186">
        <f>IFERROR(IF(OR(NOT(ISNUMBER(S186)),NOT(ISNUMBER(W186))),"",IF(OR(S186&lt;=0,W186&lt;=0),"",(1-S186/W186)*100)),"")</f>
        <v>-16.870096208227281</v>
      </c>
      <c r="AD186">
        <f>IF(AC186="","",(MAX(S186,W186)/MIN(S186,W186)-1)*100)</f>
        <v>16.870096208227281</v>
      </c>
      <c r="AE186">
        <f>IF(AC186="","",ABS(W186-S186))</f>
        <v>450.70149029899994</v>
      </c>
      <c r="AF186">
        <f>IF(AC186="","",IF(AND(AE186&lt;MAX(Расч!$B$11,S186*Расч!$B$12),IF(AD186&lt;Расч!$B$7,0,IF(AD186&lt;Расч!$B$8,1,IF(AD186&lt;Расч!$B$9,2,IF(AD186&lt;Расч!$B$10,3,4))))&gt;1),1,IF(AD186&lt;Расч!$B$7,0,IF(AD186&lt;Расч!$B$8,1,IF(AD186&lt;Расч!$B$9,2,IF(AD186&lt;Расч!$B$10,3,4))))))</f>
        <v>0</v>
      </c>
      <c r="AK186">
        <f>IF(AC186="","",AC186)</f>
        <v>-16.870096208227281</v>
      </c>
      <c r="AL186">
        <f>IF(AE186="","",AE186)</f>
        <v>450.70149029899994</v>
      </c>
      <c r="AM186">
        <f>IF(AF186="","",AF186)</f>
        <v>0</v>
      </c>
      <c r="AN186" t="str">
        <f>IF(AM186="","нет данных",CHOOSE(AM186+1,"Норма","Лёгкое отклонение","Заметный разброс","Выброс","Экстремальный выброс"))</f>
        <v>Норма</v>
      </c>
      <c r="AO186">
        <f>IF(OR(AC186="",NOT(ISNUMBER(N186))),0,MAX(N186,0))</f>
        <v>59</v>
      </c>
      <c r="AP186">
        <f>IF(AC186="",0,AC186*AO186)</f>
        <v>-995.33567628540959</v>
      </c>
      <c r="AQ186">
        <f>IF(OR(AC186="",NOT(ISNUMBER(O186))),0,MAX(O186,0)*S186)</f>
        <v>15611.507451494999</v>
      </c>
      <c r="AR186">
        <f>IF(AC186="",0,AC186*AQ186)</f>
        <v>-263367.63266217773</v>
      </c>
    </row>
    <row r="187" spans="1:44" x14ac:dyDescent="0.25">
      <c r="A187">
        <v>130941</v>
      </c>
      <c r="B187" t="s">
        <v>20</v>
      </c>
      <c r="C187" t="s">
        <v>405</v>
      </c>
      <c r="D187">
        <v>9946820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s="5">
        <v>1414.874748</v>
      </c>
      <c r="K187" t="s">
        <v>27</v>
      </c>
      <c r="L187" s="5">
        <v>4541.4793209299996</v>
      </c>
      <c r="M187" t="s">
        <v>406</v>
      </c>
      <c r="N187" s="12">
        <v>59</v>
      </c>
      <c r="O187">
        <v>3</v>
      </c>
      <c r="P187" t="s">
        <v>204</v>
      </c>
      <c r="Q187" s="5">
        <v>2160</v>
      </c>
      <c r="R187" s="5">
        <v>1938.37840476</v>
      </c>
      <c r="S187" s="10">
        <v>3860.2574227905002</v>
      </c>
      <c r="T187" s="8">
        <v>0.4634496425622423</v>
      </c>
      <c r="U187" s="5">
        <v>227755.1879446395</v>
      </c>
      <c r="V187" s="5">
        <v>105553.0604446395</v>
      </c>
      <c r="W187" s="5">
        <v>0</v>
      </c>
      <c r="X187" s="5"/>
    </row>
    <row r="188" spans="1:44" x14ac:dyDescent="0.25">
      <c r="A188">
        <v>130928</v>
      </c>
      <c r="B188" t="s">
        <v>20</v>
      </c>
      <c r="C188" t="s">
        <v>407</v>
      </c>
      <c r="D188" t="s">
        <v>730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s="5">
        <v>1344.73849</v>
      </c>
      <c r="K188" t="s">
        <v>27</v>
      </c>
      <c r="L188" s="5">
        <v>4185.5561237700003</v>
      </c>
      <c r="M188" t="s">
        <v>408</v>
      </c>
      <c r="N188" s="12">
        <v>57</v>
      </c>
      <c r="O188">
        <v>3</v>
      </c>
      <c r="P188" t="s">
        <v>204</v>
      </c>
      <c r="Q188" s="5">
        <v>1964</v>
      </c>
      <c r="R188" s="5">
        <v>1842.2917313</v>
      </c>
      <c r="S188" s="10">
        <v>3557.7227052045</v>
      </c>
      <c r="T188" s="8">
        <v>0.47014982442493491</v>
      </c>
      <c r="U188" s="5">
        <v>202790.19419665649</v>
      </c>
      <c r="V188" s="5">
        <v>95341.774196656508</v>
      </c>
      <c r="W188" s="5">
        <v>1649.4</v>
      </c>
      <c r="X188" s="8">
        <f>1-(S188/W188)</f>
        <v>-1.1569799352519099</v>
      </c>
      <c r="AB188">
        <f>A188</f>
        <v>130928</v>
      </c>
      <c r="AC188">
        <f>IFERROR(IF(OR(NOT(ISNUMBER(S188)),NOT(ISNUMBER(W188))),"",IF(OR(S188&lt;=0,W188&lt;=0),"",(1-S188/W188)*100)),"")</f>
        <v>-115.697993525191</v>
      </c>
      <c r="AD188">
        <f>IF(AC188="","",(MAX(S188,W188)/MIN(S188,W188)-1)*100)</f>
        <v>115.697993525191</v>
      </c>
      <c r="AE188">
        <f>IF(AC188="","",ABS(W188-S188))</f>
        <v>1908.3227052044999</v>
      </c>
      <c r="AF188">
        <f>IF(AC188="","",IF(AND(AE188&lt;MAX(Расч!$B$11,S188*Расч!$B$12),IF(AD188&lt;Расч!$B$7,0,IF(AD188&lt;Расч!$B$8,1,IF(AD188&lt;Расч!$B$9,2,IF(AD188&lt;Расч!$B$10,3,4))))&gt;1),1,IF(AD188&lt;Расч!$B$7,0,IF(AD188&lt;Расч!$B$8,1,IF(AD188&lt;Расч!$B$9,2,IF(AD188&lt;Расч!$B$10,3,4))))))</f>
        <v>4</v>
      </c>
      <c r="AK188">
        <f t="shared" ref="AK188:AK190" si="48">IF(AC188="","",AC188)</f>
        <v>-115.697993525191</v>
      </c>
      <c r="AL188">
        <f t="shared" ref="AL188:AL190" si="49">IF(AE188="","",AE188)</f>
        <v>1908.3227052044999</v>
      </c>
      <c r="AM188">
        <f t="shared" ref="AM188:AM190" si="50">IF(AF188="","",AF188)</f>
        <v>4</v>
      </c>
      <c r="AN188" t="str">
        <f t="shared" ref="AN188:AN190" si="51">IF(AM188="","нет данных",CHOOSE(AM188+1,"Норма","Лёгкое отклонение","Заметный разброс","Выброс","Экстремальный выброс"))</f>
        <v>Экстремальный выброс</v>
      </c>
      <c r="AO188">
        <f>IF(OR(AC188="",NOT(ISNUMBER(N188))),0,MAX(N188,0))</f>
        <v>57</v>
      </c>
      <c r="AP188">
        <f t="shared" ref="AP188:AP190" si="52">IF(AC188="",0,AC188*AO188)</f>
        <v>-6594.7856309358867</v>
      </c>
      <c r="AQ188">
        <f>IF(OR(AC188="",NOT(ISNUMBER(O188))),0,MAX(O188,0)*S188)</f>
        <v>10673.1681156135</v>
      </c>
      <c r="AR188">
        <f t="shared" ref="AR188:AR190" si="53">IF(AC188="",0,AC188*AQ188)</f>
        <v>-1234864.1355335256</v>
      </c>
    </row>
    <row r="189" spans="1:44" x14ac:dyDescent="0.25">
      <c r="A189">
        <v>130883</v>
      </c>
      <c r="B189" t="s">
        <v>20</v>
      </c>
      <c r="C189" t="s">
        <v>409</v>
      </c>
      <c r="D189" t="s">
        <v>744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s="5">
        <v>1687.688224</v>
      </c>
      <c r="K189" t="s">
        <v>27</v>
      </c>
      <c r="L189" s="5">
        <v>4583.9750576699998</v>
      </c>
      <c r="M189" t="s">
        <v>410</v>
      </c>
      <c r="N189" s="12">
        <v>56</v>
      </c>
      <c r="O189">
        <v>0</v>
      </c>
      <c r="P189" t="s">
        <v>204</v>
      </c>
      <c r="Q189" s="5">
        <v>0</v>
      </c>
      <c r="R189" s="5">
        <v>2312.1328668800002</v>
      </c>
      <c r="S189" s="10">
        <v>3896.3787990195001</v>
      </c>
      <c r="T189" s="8">
        <v>0.40659443392366401</v>
      </c>
      <c r="U189" s="5">
        <v>218197.21274509199</v>
      </c>
      <c r="V189" s="5">
        <v>88717.772199811967</v>
      </c>
      <c r="W189" s="5">
        <v>3448.2</v>
      </c>
      <c r="X189" s="8">
        <f>1-(S189/W189)</f>
        <v>-0.12997471115930059</v>
      </c>
      <c r="AB189">
        <f>A189</f>
        <v>130883</v>
      </c>
      <c r="AC189">
        <f>IFERROR(IF(OR(NOT(ISNUMBER(S189)),NOT(ISNUMBER(W189))),"",IF(OR(S189&lt;=0,W189&lt;=0),"",(1-S189/W189)*100)),"")</f>
        <v>-12.997471115930059</v>
      </c>
      <c r="AD189">
        <f>IF(AC189="","",(MAX(S189,W189)/MIN(S189,W189)-1)*100)</f>
        <v>12.997471115930059</v>
      </c>
      <c r="AE189">
        <f>IF(AC189="","",ABS(W189-S189))</f>
        <v>448.17879901950027</v>
      </c>
      <c r="AF189">
        <f>IF(AC189="","",IF(AND(AE189&lt;MAX(Расч!$B$11,S189*Расч!$B$12),IF(AD189&lt;Расч!$B$7,0,IF(AD189&lt;Расч!$B$8,1,IF(AD189&lt;Расч!$B$9,2,IF(AD189&lt;Расч!$B$10,3,4))))&gt;1),1,IF(AD189&lt;Расч!$B$7,0,IF(AD189&lt;Расч!$B$8,1,IF(AD189&lt;Расч!$B$9,2,IF(AD189&lt;Расч!$B$10,3,4))))))</f>
        <v>0</v>
      </c>
      <c r="AK189">
        <f t="shared" si="48"/>
        <v>-12.997471115930059</v>
      </c>
      <c r="AL189">
        <f t="shared" si="49"/>
        <v>448.17879901950027</v>
      </c>
      <c r="AM189">
        <f t="shared" si="50"/>
        <v>0</v>
      </c>
      <c r="AN189" t="str">
        <f t="shared" si="51"/>
        <v>Норма</v>
      </c>
      <c r="AO189">
        <f>IF(OR(AC189="",NOT(ISNUMBER(N189))),0,MAX(N189,0))</f>
        <v>56</v>
      </c>
      <c r="AP189">
        <f t="shared" si="52"/>
        <v>-727.85838249208336</v>
      </c>
      <c r="AQ189">
        <f>IF(OR(AC189="",NOT(ISNUMBER(O189))),0,MAX(O189,0)*S189)</f>
        <v>0</v>
      </c>
      <c r="AR189">
        <f t="shared" si="53"/>
        <v>0</v>
      </c>
    </row>
    <row r="190" spans="1:44" x14ac:dyDescent="0.25">
      <c r="A190">
        <v>170251</v>
      </c>
      <c r="B190" t="s">
        <v>20</v>
      </c>
      <c r="C190" t="s">
        <v>411</v>
      </c>
      <c r="D190" t="s">
        <v>800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s="5">
        <v>1393.3368419999999</v>
      </c>
      <c r="K190" t="s">
        <v>27</v>
      </c>
      <c r="L190" s="5">
        <v>4815.97233117</v>
      </c>
      <c r="M190" t="s">
        <v>412</v>
      </c>
      <c r="N190" s="12">
        <v>55</v>
      </c>
      <c r="O190">
        <v>1</v>
      </c>
      <c r="P190" t="s">
        <v>204</v>
      </c>
      <c r="Q190" s="5">
        <v>1880</v>
      </c>
      <c r="R190" s="5">
        <v>1908.8714735399999</v>
      </c>
      <c r="S190" s="10">
        <v>4093.5764814945001</v>
      </c>
      <c r="T190" s="8">
        <v>0.56000496351401718</v>
      </c>
      <c r="U190" s="5">
        <v>225146.70648219751</v>
      </c>
      <c r="V190" s="5">
        <v>126083.2731488642</v>
      </c>
      <c r="W190" s="5">
        <v>4250.3</v>
      </c>
      <c r="X190" s="8">
        <f>1-(S190/W190)</f>
        <v>3.6873519164647206E-2</v>
      </c>
      <c r="AB190">
        <f>A190</f>
        <v>170251</v>
      </c>
      <c r="AC190">
        <f>IFERROR(IF(OR(NOT(ISNUMBER(S190)),NOT(ISNUMBER(W190))),"",IF(OR(S190&lt;=0,W190&lt;=0),"",(1-S190/W190)*100)),"")</f>
        <v>3.6873519164647206</v>
      </c>
      <c r="AD190">
        <f>IF(AC190="","",(MAX(S190,W190)/MIN(S190,W190)-1)*100)</f>
        <v>3.828523033928577</v>
      </c>
      <c r="AE190">
        <f>IF(AC190="","",ABS(W190-S190))</f>
        <v>156.72351850550012</v>
      </c>
      <c r="AF190">
        <f>IF(AC190="","",IF(AND(AE190&lt;MAX(Расч!$B$11,S190*Расч!$B$12),IF(AD190&lt;Расч!$B$7,0,IF(AD190&lt;Расч!$B$8,1,IF(AD190&lt;Расч!$B$9,2,IF(AD190&lt;Расч!$B$10,3,4))))&gt;1),1,IF(AD190&lt;Расч!$B$7,0,IF(AD190&lt;Расч!$B$8,1,IF(AD190&lt;Расч!$B$9,2,IF(AD190&lt;Расч!$B$10,3,4))))))</f>
        <v>0</v>
      </c>
      <c r="AK190">
        <f t="shared" si="48"/>
        <v>3.6873519164647206</v>
      </c>
      <c r="AL190">
        <f t="shared" si="49"/>
        <v>156.72351850550012</v>
      </c>
      <c r="AM190">
        <f t="shared" si="50"/>
        <v>0</v>
      </c>
      <c r="AN190" t="str">
        <f t="shared" si="51"/>
        <v>Норма</v>
      </c>
      <c r="AO190">
        <f>IF(OR(AC190="",NOT(ISNUMBER(N190))),0,MAX(N190,0))</f>
        <v>55</v>
      </c>
      <c r="AP190">
        <f t="shared" si="52"/>
        <v>202.80435540555965</v>
      </c>
      <c r="AQ190">
        <f>IF(OR(AC190="",NOT(ISNUMBER(O190))),0,MAX(O190,0)*S190)</f>
        <v>4093.5764814945001</v>
      </c>
      <c r="AR190">
        <f t="shared" si="53"/>
        <v>15094.457084233652</v>
      </c>
    </row>
    <row r="191" spans="1:44" x14ac:dyDescent="0.25">
      <c r="A191">
        <v>130878</v>
      </c>
      <c r="B191" t="s">
        <v>20</v>
      </c>
      <c r="C191" t="s">
        <v>413</v>
      </c>
      <c r="D191">
        <v>9936810</v>
      </c>
      <c r="E191" t="s">
        <v>22</v>
      </c>
      <c r="F191" t="s">
        <v>23</v>
      </c>
      <c r="G191" t="s">
        <v>24</v>
      </c>
      <c r="H191" t="s">
        <v>25</v>
      </c>
      <c r="I191" t="s">
        <v>26</v>
      </c>
      <c r="J191" s="5">
        <v>1615.8952039999999</v>
      </c>
      <c r="K191" t="s">
        <v>27</v>
      </c>
      <c r="L191" s="5">
        <v>5189.13694932</v>
      </c>
      <c r="M191" t="s">
        <v>414</v>
      </c>
      <c r="N191" s="12">
        <v>54</v>
      </c>
      <c r="O191">
        <v>7</v>
      </c>
      <c r="P191" t="s">
        <v>204</v>
      </c>
      <c r="Q191" s="5">
        <v>2220</v>
      </c>
      <c r="R191" s="5">
        <v>2213.7764294799999</v>
      </c>
      <c r="S191" s="10">
        <v>4410.766406922</v>
      </c>
      <c r="T191" s="8">
        <v>0.51705161790997778</v>
      </c>
      <c r="U191" s="5">
        <v>238181.38597378801</v>
      </c>
      <c r="V191" s="5">
        <v>123152.070973788</v>
      </c>
      <c r="W191" s="5">
        <v>0</v>
      </c>
      <c r="X191" s="5"/>
    </row>
    <row r="192" spans="1:44" x14ac:dyDescent="0.25">
      <c r="A192">
        <v>1774892</v>
      </c>
      <c r="B192" t="s">
        <v>20</v>
      </c>
      <c r="C192" t="s">
        <v>415</v>
      </c>
      <c r="D192" t="s">
        <v>744</v>
      </c>
      <c r="E192" t="s">
        <v>22</v>
      </c>
      <c r="F192" t="s">
        <v>23</v>
      </c>
      <c r="G192" t="s">
        <v>24</v>
      </c>
      <c r="H192" t="s">
        <v>25</v>
      </c>
      <c r="I192" t="s">
        <v>26</v>
      </c>
      <c r="J192" s="5">
        <v>1320.439314</v>
      </c>
      <c r="K192" t="s">
        <v>27</v>
      </c>
      <c r="L192" s="5">
        <v>4116.0083064299997</v>
      </c>
      <c r="M192" t="s">
        <v>416</v>
      </c>
      <c r="N192" s="12">
        <v>54</v>
      </c>
      <c r="O192">
        <v>10</v>
      </c>
      <c r="P192" t="s">
        <v>204</v>
      </c>
      <c r="Q192" s="5">
        <v>1890</v>
      </c>
      <c r="R192" s="5">
        <v>1809.00186018</v>
      </c>
      <c r="S192" s="10">
        <v>3498.6070604655001</v>
      </c>
      <c r="T192" s="8">
        <v>0.47959765076016098</v>
      </c>
      <c r="U192" s="5">
        <v>188924.78126513699</v>
      </c>
      <c r="V192" s="5">
        <v>90607.881265136981</v>
      </c>
      <c r="W192" s="5">
        <v>0</v>
      </c>
      <c r="X192" s="5"/>
    </row>
    <row r="193" spans="1:44" x14ac:dyDescent="0.25">
      <c r="A193">
        <v>130926</v>
      </c>
      <c r="B193" t="s">
        <v>20</v>
      </c>
      <c r="C193" t="s">
        <v>417</v>
      </c>
      <c r="D193">
        <v>9675220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s="5">
        <v>1440.830686</v>
      </c>
      <c r="K193" t="s">
        <v>27</v>
      </c>
      <c r="L193" s="5">
        <v>4626.9159552299998</v>
      </c>
      <c r="M193" t="s">
        <v>418</v>
      </c>
      <c r="N193" s="12">
        <v>52</v>
      </c>
      <c r="O193">
        <v>0</v>
      </c>
      <c r="P193" t="s">
        <v>204</v>
      </c>
      <c r="Q193" s="5">
        <v>0</v>
      </c>
      <c r="R193" s="5">
        <v>1973.9380398200001</v>
      </c>
      <c r="S193" s="10">
        <v>3932.8785619455002</v>
      </c>
      <c r="T193" s="8">
        <v>0.49809331543571977</v>
      </c>
      <c r="U193" s="5">
        <v>204509.685221166</v>
      </c>
      <c r="V193" s="5">
        <v>101864.90715052601</v>
      </c>
      <c r="W193" s="5">
        <v>3483.4</v>
      </c>
      <c r="X193" s="8">
        <f>1-(S193/W193)</f>
        <v>-0.12903443817692484</v>
      </c>
      <c r="AB193">
        <f>A193</f>
        <v>130926</v>
      </c>
      <c r="AC193">
        <f>IFERROR(IF(OR(NOT(ISNUMBER(S193)),NOT(ISNUMBER(W193))),"",IF(OR(S193&lt;=0,W193&lt;=0),"",(1-S193/W193)*100)),"")</f>
        <v>-12.903443817692484</v>
      </c>
      <c r="AD193">
        <f>IF(AC193="","",(MAX(S193,W193)/MIN(S193,W193)-1)*100)</f>
        <v>12.903443817692484</v>
      </c>
      <c r="AE193">
        <f>IF(AC193="","",ABS(W193-S193))</f>
        <v>449.47856194550013</v>
      </c>
      <c r="AF193">
        <f>IF(AC193="","",IF(AND(AE193&lt;MAX(Расч!$B$11,S193*Расч!$B$12),IF(AD193&lt;Расч!$B$7,0,IF(AD193&lt;Расч!$B$8,1,IF(AD193&lt;Расч!$B$9,2,IF(AD193&lt;Расч!$B$10,3,4))))&gt;1),1,IF(AD193&lt;Расч!$B$7,0,IF(AD193&lt;Расч!$B$8,1,IF(AD193&lt;Расч!$B$9,2,IF(AD193&lt;Расч!$B$10,3,4))))))</f>
        <v>0</v>
      </c>
      <c r="AK193">
        <f>IF(AC193="","",AC193)</f>
        <v>-12.903443817692484</v>
      </c>
      <c r="AL193">
        <f>IF(AE193="","",AE193)</f>
        <v>449.47856194550013</v>
      </c>
      <c r="AM193">
        <f>IF(AF193="","",AF193)</f>
        <v>0</v>
      </c>
      <c r="AN193" t="str">
        <f>IF(AM193="","нет данных",CHOOSE(AM193+1,"Норма","Лёгкое отклонение","Заметный разброс","Выброс","Экстремальный выброс"))</f>
        <v>Норма</v>
      </c>
      <c r="AO193">
        <f>IF(OR(AC193="",NOT(ISNUMBER(N193))),0,MAX(N193,0))</f>
        <v>52</v>
      </c>
      <c r="AP193">
        <f>IF(AC193="",0,AC193*AO193)</f>
        <v>-670.97907852000912</v>
      </c>
      <c r="AQ193">
        <f>IF(OR(AC193="",NOT(ISNUMBER(O193))),0,MAX(O193,0)*S193)</f>
        <v>0</v>
      </c>
      <c r="AR193">
        <f>IF(AC193="",0,AC193*AQ193)</f>
        <v>0</v>
      </c>
    </row>
    <row r="194" spans="1:44" x14ac:dyDescent="0.25">
      <c r="A194">
        <v>130886</v>
      </c>
      <c r="B194" t="s">
        <v>30</v>
      </c>
      <c r="C194" t="s">
        <v>419</v>
      </c>
      <c r="D194" t="s">
        <v>739</v>
      </c>
      <c r="E194" t="s">
        <v>22</v>
      </c>
      <c r="F194" t="s">
        <v>23</v>
      </c>
      <c r="G194" t="s">
        <v>24</v>
      </c>
      <c r="H194" t="s">
        <v>25</v>
      </c>
      <c r="I194" t="s">
        <v>26</v>
      </c>
      <c r="J194" s="5">
        <v>1143.718034</v>
      </c>
      <c r="K194" t="s">
        <v>27</v>
      </c>
      <c r="L194" s="5">
        <v>3563.1014464199998</v>
      </c>
      <c r="M194" t="s">
        <v>420</v>
      </c>
      <c r="N194" s="12">
        <v>50</v>
      </c>
      <c r="O194">
        <v>2</v>
      </c>
      <c r="P194" t="s">
        <v>204</v>
      </c>
      <c r="Q194" s="5">
        <v>1670</v>
      </c>
      <c r="R194" s="5">
        <v>1566.8937065800001</v>
      </c>
      <c r="S194" s="10">
        <v>3028.6362294569999</v>
      </c>
      <c r="T194" s="8">
        <v>0.47058679929762592</v>
      </c>
      <c r="U194" s="5">
        <v>151431.81147285001</v>
      </c>
      <c r="V194" s="5">
        <v>71261.811472849993</v>
      </c>
      <c r="W194" s="5">
        <v>0</v>
      </c>
      <c r="X194" s="5"/>
    </row>
    <row r="195" spans="1:44" x14ac:dyDescent="0.25">
      <c r="A195">
        <v>170269</v>
      </c>
      <c r="B195" t="s">
        <v>30</v>
      </c>
      <c r="C195" t="s">
        <v>421</v>
      </c>
      <c r="D195">
        <v>8689711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s="5">
        <v>1237.0489600000001</v>
      </c>
      <c r="K195" t="s">
        <v>27</v>
      </c>
      <c r="L195" s="5">
        <v>3971.296796789999</v>
      </c>
      <c r="M195" t="s">
        <v>422</v>
      </c>
      <c r="N195" s="12">
        <v>50</v>
      </c>
      <c r="O195">
        <v>10</v>
      </c>
      <c r="P195" t="s">
        <v>204</v>
      </c>
      <c r="Q195" s="5">
        <v>1748</v>
      </c>
      <c r="R195" s="5">
        <v>1694.7570751999999</v>
      </c>
      <c r="S195" s="10">
        <v>3375.6022772715</v>
      </c>
      <c r="T195" s="8">
        <v>0.50332952098990602</v>
      </c>
      <c r="U195" s="5">
        <v>168780.11386357501</v>
      </c>
      <c r="V195" s="5">
        <v>84952.01386357499</v>
      </c>
      <c r="W195" s="5">
        <v>0</v>
      </c>
      <c r="X195" s="5"/>
    </row>
    <row r="196" spans="1:44" x14ac:dyDescent="0.25">
      <c r="A196">
        <v>1859662</v>
      </c>
      <c r="B196" t="s">
        <v>20</v>
      </c>
      <c r="C196" t="s">
        <v>423</v>
      </c>
      <c r="D196" t="s">
        <v>744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s="5">
        <v>1259.13912</v>
      </c>
      <c r="K196" t="s">
        <v>27</v>
      </c>
      <c r="L196" s="5">
        <v>3780.9049383900001</v>
      </c>
      <c r="M196" t="s">
        <v>424</v>
      </c>
      <c r="N196" s="12">
        <v>48</v>
      </c>
      <c r="O196">
        <v>4</v>
      </c>
      <c r="P196" t="s">
        <v>204</v>
      </c>
      <c r="Q196" s="5">
        <v>1770</v>
      </c>
      <c r="R196" s="5">
        <v>1725.0205943999999</v>
      </c>
      <c r="S196" s="10">
        <v>3213.7691976315</v>
      </c>
      <c r="T196" s="8">
        <v>0.46842324543435182</v>
      </c>
      <c r="U196" s="5">
        <v>154260.921486312</v>
      </c>
      <c r="V196" s="5">
        <v>72259.401486311981</v>
      </c>
      <c r="W196" s="5">
        <v>0</v>
      </c>
      <c r="X196" s="5"/>
    </row>
    <row r="197" spans="1:44" x14ac:dyDescent="0.25">
      <c r="A197">
        <v>130923</v>
      </c>
      <c r="B197" t="s">
        <v>20</v>
      </c>
      <c r="C197" t="s">
        <v>425</v>
      </c>
      <c r="D197">
        <v>9689314</v>
      </c>
      <c r="E197" t="s">
        <v>22</v>
      </c>
      <c r="F197" t="s">
        <v>23</v>
      </c>
      <c r="G197" t="s">
        <v>24</v>
      </c>
      <c r="H197" t="s">
        <v>25</v>
      </c>
      <c r="I197" t="s">
        <v>26</v>
      </c>
      <c r="J197" s="5">
        <v>1440.830686</v>
      </c>
      <c r="K197" t="s">
        <v>27</v>
      </c>
      <c r="L197" s="5">
        <v>4626.9159552299998</v>
      </c>
      <c r="M197" t="s">
        <v>426</v>
      </c>
      <c r="N197" s="12">
        <v>48</v>
      </c>
      <c r="O197">
        <v>4</v>
      </c>
      <c r="P197" t="s">
        <v>204</v>
      </c>
      <c r="Q197" s="5">
        <v>2104</v>
      </c>
      <c r="R197" s="5">
        <v>1973.9380398200001</v>
      </c>
      <c r="S197" s="10">
        <v>3932.8785619455002</v>
      </c>
      <c r="T197" s="8">
        <v>0.48640722865320168</v>
      </c>
      <c r="U197" s="5">
        <v>188778.170973384</v>
      </c>
      <c r="V197" s="5">
        <v>91823.066973384004</v>
      </c>
      <c r="W197" s="5">
        <v>0</v>
      </c>
      <c r="X197" s="5"/>
    </row>
    <row r="198" spans="1:44" x14ac:dyDescent="0.25">
      <c r="A198">
        <v>130898</v>
      </c>
      <c r="B198" t="s">
        <v>30</v>
      </c>
      <c r="C198" t="s">
        <v>427</v>
      </c>
      <c r="D198" t="s">
        <v>744</v>
      </c>
      <c r="E198" t="s">
        <v>22</v>
      </c>
      <c r="F198" t="s">
        <v>23</v>
      </c>
      <c r="G198" t="s">
        <v>24</v>
      </c>
      <c r="H198" t="s">
        <v>25</v>
      </c>
      <c r="I198" t="s">
        <v>26</v>
      </c>
      <c r="J198" s="5">
        <v>1361.8583639999999</v>
      </c>
      <c r="K198" t="s">
        <v>27</v>
      </c>
      <c r="L198" s="5">
        <v>3579.82922031</v>
      </c>
      <c r="M198" t="s">
        <v>428</v>
      </c>
      <c r="N198" s="12">
        <v>48</v>
      </c>
      <c r="O198">
        <v>2</v>
      </c>
      <c r="P198" t="s">
        <v>204</v>
      </c>
      <c r="Q198" s="5">
        <v>1657</v>
      </c>
      <c r="R198" s="5">
        <v>1865.7459586800001</v>
      </c>
      <c r="S198" s="10">
        <v>3042.8548372635</v>
      </c>
      <c r="T198" s="8">
        <v>0.48683388347099738</v>
      </c>
      <c r="U198" s="5">
        <v>146057.03218864801</v>
      </c>
      <c r="V198" s="5">
        <v>71105.512188647976</v>
      </c>
      <c r="W198" s="5">
        <v>0</v>
      </c>
      <c r="X198" s="5"/>
    </row>
    <row r="199" spans="1:44" x14ac:dyDescent="0.25">
      <c r="A199">
        <v>130943</v>
      </c>
      <c r="B199" t="s">
        <v>30</v>
      </c>
      <c r="C199" t="s">
        <v>429</v>
      </c>
      <c r="D199" t="s">
        <v>801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s="5">
        <v>1223.24261</v>
      </c>
      <c r="K199" t="s">
        <v>27</v>
      </c>
      <c r="L199" s="5">
        <v>3809.7547838400001</v>
      </c>
      <c r="M199" t="s">
        <v>430</v>
      </c>
      <c r="N199" s="12">
        <v>48</v>
      </c>
      <c r="O199">
        <v>10</v>
      </c>
      <c r="P199" t="s">
        <v>204</v>
      </c>
      <c r="Q199" s="5">
        <v>1767</v>
      </c>
      <c r="R199" s="5">
        <v>1675.8423757</v>
      </c>
      <c r="S199" s="10">
        <v>3238.2915662639998</v>
      </c>
      <c r="T199" s="8">
        <v>0.48040132719079998</v>
      </c>
      <c r="U199" s="5">
        <v>155437.99518067201</v>
      </c>
      <c r="V199" s="5">
        <v>74672.619180671987</v>
      </c>
      <c r="W199" s="5">
        <v>0</v>
      </c>
    </row>
    <row r="200" spans="1:44" x14ac:dyDescent="0.25">
      <c r="A200">
        <v>1752055</v>
      </c>
      <c r="B200" t="s">
        <v>20</v>
      </c>
      <c r="C200" t="s">
        <v>431</v>
      </c>
      <c r="D200" t="s">
        <v>744</v>
      </c>
      <c r="E200" t="s">
        <v>22</v>
      </c>
      <c r="F200" t="s">
        <v>23</v>
      </c>
      <c r="G200" t="s">
        <v>24</v>
      </c>
      <c r="H200" t="s">
        <v>25</v>
      </c>
      <c r="I200" t="s">
        <v>26</v>
      </c>
      <c r="J200" s="5">
        <v>1224.8993720000001</v>
      </c>
      <c r="K200" t="s">
        <v>27</v>
      </c>
      <c r="L200" s="5">
        <v>3931.5747543900002</v>
      </c>
      <c r="M200" t="s">
        <v>432</v>
      </c>
      <c r="N200" s="12">
        <v>46</v>
      </c>
      <c r="O200">
        <v>4</v>
      </c>
      <c r="P200" t="s">
        <v>204</v>
      </c>
      <c r="Q200" s="5">
        <v>1183</v>
      </c>
      <c r="R200" s="5">
        <v>1678.1121396399999</v>
      </c>
      <c r="S200" s="10">
        <v>3341.8385412315001</v>
      </c>
      <c r="T200" s="8">
        <v>0.66177300726698984</v>
      </c>
      <c r="U200" s="5">
        <v>153724.57289664901</v>
      </c>
      <c r="V200" s="5">
        <v>101730.772896649</v>
      </c>
      <c r="W200" s="5">
        <v>0</v>
      </c>
      <c r="X200" s="5"/>
    </row>
    <row r="201" spans="1:44" x14ac:dyDescent="0.25">
      <c r="A201">
        <v>1714660</v>
      </c>
      <c r="B201" t="s">
        <v>20</v>
      </c>
      <c r="C201" t="s">
        <v>433</v>
      </c>
      <c r="D201" t="s">
        <v>744</v>
      </c>
      <c r="E201" t="s">
        <v>22</v>
      </c>
      <c r="F201" t="s">
        <v>23</v>
      </c>
      <c r="G201" t="s">
        <v>24</v>
      </c>
      <c r="H201" t="s">
        <v>25</v>
      </c>
      <c r="I201" t="s">
        <v>26</v>
      </c>
      <c r="J201" s="5">
        <v>1467.891132</v>
      </c>
      <c r="K201" t="s">
        <v>27</v>
      </c>
      <c r="L201" s="5">
        <v>4712.3012248200002</v>
      </c>
      <c r="M201" t="s">
        <v>434</v>
      </c>
      <c r="N201" s="12">
        <v>46</v>
      </c>
      <c r="O201">
        <v>32</v>
      </c>
      <c r="P201" t="s">
        <v>204</v>
      </c>
      <c r="Q201" s="5">
        <v>2065</v>
      </c>
      <c r="R201" s="5">
        <v>2011.0108508400001</v>
      </c>
      <c r="S201" s="10">
        <v>4005.4560410969998</v>
      </c>
      <c r="T201" s="8">
        <v>0.50504736186299648</v>
      </c>
      <c r="U201" s="5">
        <v>184250.977890462</v>
      </c>
      <c r="V201" s="5">
        <v>93055.470304255126</v>
      </c>
      <c r="W201" s="5">
        <v>0</v>
      </c>
      <c r="X201" s="5"/>
    </row>
    <row r="202" spans="1:44" x14ac:dyDescent="0.25">
      <c r="A202">
        <v>1859647</v>
      </c>
      <c r="B202" t="s">
        <v>30</v>
      </c>
      <c r="C202" t="s">
        <v>435</v>
      </c>
      <c r="D202" t="s">
        <v>744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J202" s="5">
        <v>1846.737376</v>
      </c>
      <c r="K202" t="s">
        <v>27</v>
      </c>
      <c r="L202" s="5">
        <v>5821.7447176799997</v>
      </c>
      <c r="M202" t="s">
        <v>436</v>
      </c>
      <c r="N202" s="12">
        <v>46</v>
      </c>
      <c r="O202">
        <v>15</v>
      </c>
      <c r="P202" t="s">
        <v>204</v>
      </c>
      <c r="Q202" s="5">
        <v>2727</v>
      </c>
      <c r="R202" s="5">
        <v>2530.0302051200001</v>
      </c>
      <c r="S202" s="10">
        <v>4948.4830100279996</v>
      </c>
      <c r="T202" s="8">
        <v>0.47150703432976648</v>
      </c>
      <c r="U202" s="5">
        <v>227630.21846128799</v>
      </c>
      <c r="V202" s="5">
        <v>107329.24923051881</v>
      </c>
      <c r="W202" s="5">
        <v>0</v>
      </c>
      <c r="X202" s="5"/>
    </row>
    <row r="203" spans="1:44" x14ac:dyDescent="0.25">
      <c r="A203">
        <v>1714639</v>
      </c>
      <c r="B203" t="s">
        <v>20</v>
      </c>
      <c r="C203" t="s">
        <v>437</v>
      </c>
      <c r="D203" t="s">
        <v>791</v>
      </c>
      <c r="E203" t="s">
        <v>22</v>
      </c>
      <c r="F203" t="s">
        <v>23</v>
      </c>
      <c r="G203" t="s">
        <v>24</v>
      </c>
      <c r="H203" t="s">
        <v>25</v>
      </c>
      <c r="I203" t="s">
        <v>26</v>
      </c>
      <c r="J203" s="5">
        <v>1525.877802</v>
      </c>
      <c r="K203" t="s">
        <v>27</v>
      </c>
      <c r="L203" s="5">
        <v>5941.7326802400003</v>
      </c>
      <c r="M203" t="s">
        <v>438</v>
      </c>
      <c r="N203" s="12">
        <v>45</v>
      </c>
      <c r="O203">
        <v>3</v>
      </c>
      <c r="P203" t="s">
        <v>204</v>
      </c>
      <c r="Q203" s="5">
        <v>2145</v>
      </c>
      <c r="R203" s="5">
        <v>2090.45258874</v>
      </c>
      <c r="S203" s="10">
        <v>5050.472778204</v>
      </c>
      <c r="T203" s="8">
        <v>0.59882171650462468</v>
      </c>
      <c r="U203" s="5">
        <v>227271.27501918</v>
      </c>
      <c r="V203" s="5">
        <v>136094.97501918001</v>
      </c>
      <c r="W203" s="5">
        <v>0</v>
      </c>
    </row>
    <row r="204" spans="1:44" x14ac:dyDescent="0.25">
      <c r="A204">
        <v>130934</v>
      </c>
      <c r="B204" t="s">
        <v>20</v>
      </c>
      <c r="C204" t="s">
        <v>439</v>
      </c>
      <c r="D204">
        <v>9914210</v>
      </c>
      <c r="E204" t="s">
        <v>22</v>
      </c>
      <c r="F204" t="s">
        <v>23</v>
      </c>
      <c r="G204" t="s">
        <v>24</v>
      </c>
      <c r="H204" t="s">
        <v>25</v>
      </c>
      <c r="I204" t="s">
        <v>26</v>
      </c>
      <c r="J204" s="5">
        <v>1143.718034</v>
      </c>
      <c r="K204" t="s">
        <v>27</v>
      </c>
      <c r="L204" s="5">
        <v>3673.29587094</v>
      </c>
      <c r="M204" t="s">
        <v>440</v>
      </c>
      <c r="N204" s="12">
        <v>45</v>
      </c>
      <c r="O204">
        <v>4</v>
      </c>
      <c r="P204" t="s">
        <v>204</v>
      </c>
      <c r="Q204" s="5">
        <v>1670</v>
      </c>
      <c r="R204" s="5">
        <v>1566.8937065800001</v>
      </c>
      <c r="S204" s="10">
        <v>3122.3014902989999</v>
      </c>
      <c r="T204" s="8">
        <v>0.49816066403313602</v>
      </c>
      <c r="U204" s="5">
        <v>140503.567063455</v>
      </c>
      <c r="V204" s="5">
        <v>69993.350267354996</v>
      </c>
      <c r="W204" s="5">
        <v>0</v>
      </c>
      <c r="X204" s="5"/>
    </row>
    <row r="205" spans="1:44" x14ac:dyDescent="0.25">
      <c r="A205">
        <v>130902</v>
      </c>
      <c r="B205" t="s">
        <v>30</v>
      </c>
      <c r="C205" t="s">
        <v>441</v>
      </c>
      <c r="D205" t="s">
        <v>802</v>
      </c>
      <c r="E205" t="s">
        <v>22</v>
      </c>
      <c r="F205" t="s">
        <v>23</v>
      </c>
      <c r="G205" t="s">
        <v>24</v>
      </c>
      <c r="H205" t="s">
        <v>25</v>
      </c>
      <c r="I205" t="s">
        <v>26</v>
      </c>
      <c r="J205" s="5">
        <v>1361.8583639999999</v>
      </c>
      <c r="K205" t="s">
        <v>27</v>
      </c>
      <c r="L205" s="5">
        <v>4372.6263975899992</v>
      </c>
      <c r="M205" t="s">
        <v>442</v>
      </c>
      <c r="N205" s="12">
        <v>45</v>
      </c>
      <c r="O205">
        <v>3</v>
      </c>
      <c r="P205" t="s">
        <v>204</v>
      </c>
      <c r="Q205" s="5">
        <v>1766</v>
      </c>
      <c r="R205" s="5">
        <v>1865.7459586800001</v>
      </c>
      <c r="S205" s="10">
        <v>3716.7324379514989</v>
      </c>
      <c r="T205" s="8">
        <v>0.5458681261444378</v>
      </c>
      <c r="U205" s="5">
        <v>167252.9597078175</v>
      </c>
      <c r="V205" s="5">
        <v>91298.059707817476</v>
      </c>
      <c r="W205" s="5">
        <v>3108</v>
      </c>
      <c r="X205" s="8">
        <f>1-(S205/W205)</f>
        <v>-0.19585985777075265</v>
      </c>
      <c r="AB205">
        <f>A205</f>
        <v>130902</v>
      </c>
      <c r="AC205">
        <f>IFERROR(IF(OR(NOT(ISNUMBER(S205)),NOT(ISNUMBER(W205))),"",IF(OR(S205&lt;=0,W205&lt;=0),"",(1-S205/W205)*100)),"")</f>
        <v>-19.585985777075265</v>
      </c>
      <c r="AD205">
        <f>IF(AC205="","",(MAX(S205,W205)/MIN(S205,W205)-1)*100)</f>
        <v>19.585985777075265</v>
      </c>
      <c r="AE205">
        <f>IF(AC205="","",ABS(W205-S205))</f>
        <v>608.73243795149892</v>
      </c>
      <c r="AF205">
        <f>IF(AC205="","",IF(AND(AE205&lt;MAX(Расч!$B$11,S205*Расч!$B$12),IF(AD205&lt;Расч!$B$7,0,IF(AD205&lt;Расч!$B$8,1,IF(AD205&lt;Расч!$B$9,2,IF(AD205&lt;Расч!$B$10,3,4))))&gt;1),1,IF(AD205&lt;Расч!$B$7,0,IF(AD205&lt;Расч!$B$8,1,IF(AD205&lt;Расч!$B$9,2,IF(AD205&lt;Расч!$B$10,3,4))))))</f>
        <v>0</v>
      </c>
      <c r="AK205">
        <f t="shared" ref="AK205:AK209" si="54">IF(AC205="","",AC205)</f>
        <v>-19.585985777075265</v>
      </c>
      <c r="AL205">
        <f t="shared" ref="AL205:AL209" si="55">IF(AE205="","",AE205)</f>
        <v>608.73243795149892</v>
      </c>
      <c r="AM205">
        <f t="shared" ref="AM205:AM209" si="56">IF(AF205="","",AF205)</f>
        <v>0</v>
      </c>
      <c r="AN205" t="str">
        <f t="shared" ref="AN205:AN209" si="57">IF(AM205="","нет данных",CHOOSE(AM205+1,"Норма","Лёгкое отклонение","Заметный разброс","Выброс","Экстремальный выброс"))</f>
        <v>Норма</v>
      </c>
      <c r="AO205">
        <f>IF(OR(AC205="",NOT(ISNUMBER(N205))),0,MAX(N205,0))</f>
        <v>45</v>
      </c>
      <c r="AP205">
        <f t="shared" ref="AP205:AP209" si="58">IF(AC205="",0,AC205*AO205)</f>
        <v>-881.3693599683869</v>
      </c>
      <c r="AQ205">
        <f>IF(OR(AC205="",NOT(ISNUMBER(O205))),0,MAX(O205,0)*S205)</f>
        <v>11150.197313854496</v>
      </c>
      <c r="AR205">
        <f t="shared" ref="AR205:AR209" si="59">IF(AC205="",0,AC205*AQ205)</f>
        <v>-218387.606000737</v>
      </c>
    </row>
    <row r="206" spans="1:44" x14ac:dyDescent="0.25">
      <c r="A206">
        <v>1853665</v>
      </c>
      <c r="B206" t="s">
        <v>20</v>
      </c>
      <c r="C206" t="s">
        <v>443</v>
      </c>
      <c r="D206" t="s">
        <v>744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s="5">
        <v>2868.4072759999999</v>
      </c>
      <c r="K206" t="s">
        <v>27</v>
      </c>
      <c r="L206" s="5">
        <v>5392.7637813299998</v>
      </c>
      <c r="M206" t="s">
        <v>444</v>
      </c>
      <c r="N206" s="12">
        <v>44</v>
      </c>
      <c r="O206">
        <v>4</v>
      </c>
      <c r="P206" t="s">
        <v>204</v>
      </c>
      <c r="Q206" s="5">
        <v>4288</v>
      </c>
      <c r="R206" s="5">
        <v>3929.71796812</v>
      </c>
      <c r="S206" s="10">
        <v>4583.8492141304996</v>
      </c>
      <c r="T206" s="8">
        <v>0.1077229764179386</v>
      </c>
      <c r="U206" s="5">
        <v>201689.365421742</v>
      </c>
      <c r="V206" s="5">
        <v>21726.578755075308</v>
      </c>
      <c r="W206" s="5">
        <v>5376.61</v>
      </c>
      <c r="X206" s="8">
        <f>1-(S206/W206)</f>
        <v>0.14744621348200815</v>
      </c>
      <c r="AB206">
        <f>A206</f>
        <v>1853665</v>
      </c>
      <c r="AC206">
        <f>IFERROR(IF(OR(NOT(ISNUMBER(S206)),NOT(ISNUMBER(W206))),"",IF(OR(S206&lt;=0,W206&lt;=0),"",(1-S206/W206)*100)),"")</f>
        <v>14.744621348200814</v>
      </c>
      <c r="AD206">
        <f>IF(AC206="","",(MAX(S206,W206)/MIN(S206,W206)-1)*100)</f>
        <v>17.29465235081642</v>
      </c>
      <c r="AE206">
        <f>IF(AC206="","",ABS(W206-S206))</f>
        <v>792.76078586950007</v>
      </c>
      <c r="AF206">
        <f>IF(AC206="","",IF(AND(AE206&lt;MAX(Расч!$B$11,S206*Расч!$B$12),IF(AD206&lt;Расч!$B$7,0,IF(AD206&lt;Расч!$B$8,1,IF(AD206&lt;Расч!$B$9,2,IF(AD206&lt;Расч!$B$10,3,4))))&gt;1),1,IF(AD206&lt;Расч!$B$7,0,IF(AD206&lt;Расч!$B$8,1,IF(AD206&lt;Расч!$B$9,2,IF(AD206&lt;Расч!$B$10,3,4))))))</f>
        <v>0</v>
      </c>
      <c r="AK206">
        <f t="shared" si="54"/>
        <v>14.744621348200814</v>
      </c>
      <c r="AL206">
        <f t="shared" si="55"/>
        <v>792.76078586950007</v>
      </c>
      <c r="AM206">
        <f t="shared" si="56"/>
        <v>0</v>
      </c>
      <c r="AN206" t="str">
        <f t="shared" si="57"/>
        <v>Норма</v>
      </c>
      <c r="AO206">
        <f>IF(OR(AC206="",NOT(ISNUMBER(N206))),0,MAX(N206,0))</f>
        <v>44</v>
      </c>
      <c r="AP206">
        <f t="shared" si="58"/>
        <v>648.76333932083583</v>
      </c>
      <c r="AQ206">
        <f>IF(OR(AC206="",NOT(ISNUMBER(O206))),0,MAX(O206,0)*S206)</f>
        <v>18335.396856521998</v>
      </c>
      <c r="AR206">
        <f t="shared" si="59"/>
        <v>270348.48391840834</v>
      </c>
    </row>
    <row r="207" spans="1:44" x14ac:dyDescent="0.25">
      <c r="A207">
        <v>170252</v>
      </c>
      <c r="B207" t="s">
        <v>20</v>
      </c>
      <c r="C207" t="s">
        <v>445</v>
      </c>
      <c r="D207">
        <v>9981710</v>
      </c>
      <c r="E207" t="s">
        <v>22</v>
      </c>
      <c r="F207" t="s">
        <v>23</v>
      </c>
      <c r="G207" t="s">
        <v>24</v>
      </c>
      <c r="H207" t="s">
        <v>25</v>
      </c>
      <c r="I207" t="s">
        <v>26</v>
      </c>
      <c r="J207" s="5">
        <v>1625.8357759999999</v>
      </c>
      <c r="K207" t="s">
        <v>27</v>
      </c>
      <c r="L207" s="5">
        <v>5218.9284811199996</v>
      </c>
      <c r="M207" t="s">
        <v>446</v>
      </c>
      <c r="N207" s="12">
        <v>44</v>
      </c>
      <c r="O207">
        <v>2</v>
      </c>
      <c r="P207" t="s">
        <v>204</v>
      </c>
      <c r="Q207" s="5">
        <v>2368</v>
      </c>
      <c r="R207" s="5">
        <v>2227.3950131199999</v>
      </c>
      <c r="S207" s="10">
        <v>4436.0892089519994</v>
      </c>
      <c r="T207" s="8">
        <v>0.48758695036770711</v>
      </c>
      <c r="U207" s="5">
        <v>195187.92519388799</v>
      </c>
      <c r="V207" s="5">
        <v>95171.085193887964</v>
      </c>
      <c r="W207" s="5">
        <v>4172.6000000000004</v>
      </c>
      <c r="X207" s="8">
        <f>1-(S207/W207)</f>
        <v>-6.3147488125389284E-2</v>
      </c>
      <c r="AB207">
        <f>A207</f>
        <v>170252</v>
      </c>
      <c r="AC207">
        <f>IFERROR(IF(OR(NOT(ISNUMBER(S207)),NOT(ISNUMBER(W207))),"",IF(OR(S207&lt;=0,W207&lt;=0),"",(1-S207/W207)*100)),"")</f>
        <v>-6.3147488125389284</v>
      </c>
      <c r="AD207">
        <f>IF(AC207="","",(MAX(S207,W207)/MIN(S207,W207)-1)*100)</f>
        <v>6.3147488125389284</v>
      </c>
      <c r="AE207">
        <f>IF(AC207="","",ABS(W207-S207))</f>
        <v>263.48920895199899</v>
      </c>
      <c r="AF207">
        <f>IF(AC207="","",IF(AND(AE207&lt;MAX(Расч!$B$11,S207*Расч!$B$12),IF(AD207&lt;Расч!$B$7,0,IF(AD207&lt;Расч!$B$8,1,IF(AD207&lt;Расч!$B$9,2,IF(AD207&lt;Расч!$B$10,3,4))))&gt;1),1,IF(AD207&lt;Расч!$B$7,0,IF(AD207&lt;Расч!$B$8,1,IF(AD207&lt;Расч!$B$9,2,IF(AD207&lt;Расч!$B$10,3,4))))))</f>
        <v>0</v>
      </c>
      <c r="AK207">
        <f t="shared" si="54"/>
        <v>-6.3147488125389284</v>
      </c>
      <c r="AL207">
        <f t="shared" si="55"/>
        <v>263.48920895199899</v>
      </c>
      <c r="AM207">
        <f t="shared" si="56"/>
        <v>0</v>
      </c>
      <c r="AN207" t="str">
        <f t="shared" si="57"/>
        <v>Норма</v>
      </c>
      <c r="AO207">
        <f>IF(OR(AC207="",NOT(ISNUMBER(N207))),0,MAX(N207,0))</f>
        <v>44</v>
      </c>
      <c r="AP207">
        <f t="shared" si="58"/>
        <v>-277.84894775171284</v>
      </c>
      <c r="AQ207">
        <f>IF(OR(AC207="",NOT(ISNUMBER(O207))),0,MAX(O207,0)*S207)</f>
        <v>8872.1784179039987</v>
      </c>
      <c r="AR207">
        <f t="shared" si="59"/>
        <v>-56025.578129092784</v>
      </c>
    </row>
    <row r="208" spans="1:44" x14ac:dyDescent="0.25">
      <c r="A208">
        <v>1853593</v>
      </c>
      <c r="B208" t="s">
        <v>252</v>
      </c>
      <c r="C208" t="s">
        <v>447</v>
      </c>
      <c r="D208" t="s">
        <v>744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s="5">
        <v>1512.6237060000001</v>
      </c>
      <c r="K208" t="s">
        <v>27</v>
      </c>
      <c r="L208" s="5">
        <v>3521.34193719</v>
      </c>
      <c r="M208" t="s">
        <v>448</v>
      </c>
      <c r="N208" s="12">
        <v>42</v>
      </c>
      <c r="O208">
        <v>0</v>
      </c>
      <c r="P208" t="s">
        <v>204</v>
      </c>
      <c r="Q208" s="5">
        <v>0</v>
      </c>
      <c r="R208" s="5">
        <v>2072.2944772199999</v>
      </c>
      <c r="S208" s="10">
        <v>2993.1406466115</v>
      </c>
      <c r="T208" s="8">
        <v>0.30765215474721469</v>
      </c>
      <c r="U208" s="5">
        <v>125711.907157683</v>
      </c>
      <c r="V208" s="5">
        <v>38675.539114442981</v>
      </c>
      <c r="W208" s="5">
        <v>5519.88</v>
      </c>
      <c r="X208" s="8">
        <f>1-(S208/W208)</f>
        <v>0.45775258762663318</v>
      </c>
      <c r="AB208">
        <f>A208</f>
        <v>1853593</v>
      </c>
      <c r="AC208">
        <f>IFERROR(IF(OR(NOT(ISNUMBER(S208)),NOT(ISNUMBER(W208))),"",IF(OR(S208&lt;=0,W208&lt;=0),"",(1-S208/W208)*100)),"")</f>
        <v>45.77525876266332</v>
      </c>
      <c r="AD208">
        <f>IF(AC208="","",(MAX(S208,W208)/MIN(S208,W208)-1)*100)</f>
        <v>84.417661971514519</v>
      </c>
      <c r="AE208">
        <f>IF(AC208="","",ABS(W208-S208))</f>
        <v>2526.7393533885001</v>
      </c>
      <c r="AF208">
        <f>IF(AC208="","",IF(AND(AE208&lt;MAX(Расч!$B$11,S208*Расч!$B$12),IF(AD208&lt;Расч!$B$7,0,IF(AD208&lt;Расч!$B$8,1,IF(AD208&lt;Расч!$B$9,2,IF(AD208&lt;Расч!$B$10,3,4))))&gt;1),1,IF(AD208&lt;Расч!$B$7,0,IF(AD208&lt;Расч!$B$8,1,IF(AD208&lt;Расч!$B$9,2,IF(AD208&lt;Расч!$B$10,3,4))))))</f>
        <v>4</v>
      </c>
      <c r="AK208">
        <f t="shared" si="54"/>
        <v>45.77525876266332</v>
      </c>
      <c r="AL208">
        <f t="shared" si="55"/>
        <v>2526.7393533885001</v>
      </c>
      <c r="AM208">
        <f t="shared" si="56"/>
        <v>4</v>
      </c>
      <c r="AN208" t="str">
        <f t="shared" si="57"/>
        <v>Экстремальный выброс</v>
      </c>
      <c r="AO208">
        <f>IF(OR(AC208="",NOT(ISNUMBER(N208))),0,MAX(N208,0))</f>
        <v>42</v>
      </c>
      <c r="AP208">
        <f t="shared" si="58"/>
        <v>1922.5608680318594</v>
      </c>
      <c r="AQ208">
        <f>IF(OR(AC208="",NOT(ISNUMBER(O208))),0,MAX(O208,0)*S208)</f>
        <v>0</v>
      </c>
      <c r="AR208">
        <f t="shared" si="59"/>
        <v>0</v>
      </c>
    </row>
    <row r="209" spans="1:44" x14ac:dyDescent="0.25">
      <c r="A209">
        <v>1853608</v>
      </c>
      <c r="B209" t="s">
        <v>252</v>
      </c>
      <c r="C209" t="s">
        <v>449</v>
      </c>
      <c r="D209" t="s">
        <v>744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s="5">
        <v>1946.143096</v>
      </c>
      <c r="K209" t="s">
        <v>27</v>
      </c>
      <c r="L209" s="5">
        <v>4529.9393827499998</v>
      </c>
      <c r="M209" t="s">
        <v>450</v>
      </c>
      <c r="N209" s="12">
        <v>40</v>
      </c>
      <c r="O209">
        <v>0</v>
      </c>
      <c r="P209" t="s">
        <v>204</v>
      </c>
      <c r="Q209" s="5">
        <v>0</v>
      </c>
      <c r="R209" s="5">
        <v>2666.2160415200001</v>
      </c>
      <c r="S209" s="10">
        <v>3850.4484753375</v>
      </c>
      <c r="T209" s="8">
        <v>0.30755701352780712</v>
      </c>
      <c r="U209" s="5">
        <v>154017.9390135</v>
      </c>
      <c r="V209" s="5">
        <v>47369.297352699978</v>
      </c>
      <c r="W209" s="5">
        <v>4462.7</v>
      </c>
      <c r="X209" s="8">
        <f>1-(S209/W209)</f>
        <v>0.13719307250375334</v>
      </c>
      <c r="AB209">
        <f>A209</f>
        <v>1853608</v>
      </c>
      <c r="AC209">
        <f>IFERROR(IF(OR(NOT(ISNUMBER(S209)),NOT(ISNUMBER(W209))),"",IF(OR(S209&lt;=0,W209&lt;=0),"",(1-S209/W209)*100)),"")</f>
        <v>13.719307250375333</v>
      </c>
      <c r="AD209">
        <f>IF(AC209="","",(MAX(S209,W209)/MIN(S209,W209)-1)*100)</f>
        <v>15.900784767905108</v>
      </c>
      <c r="AE209">
        <f>IF(AC209="","",ABS(W209-S209))</f>
        <v>612.25152466249983</v>
      </c>
      <c r="AF209">
        <f>IF(AC209="","",IF(AND(AE209&lt;MAX(Расч!$B$11,S209*Расч!$B$12),IF(AD209&lt;Расч!$B$7,0,IF(AD209&lt;Расч!$B$8,1,IF(AD209&lt;Расч!$B$9,2,IF(AD209&lt;Расч!$B$10,3,4))))&gt;1),1,IF(AD209&lt;Расч!$B$7,0,IF(AD209&lt;Расч!$B$8,1,IF(AD209&lt;Расч!$B$9,2,IF(AD209&lt;Расч!$B$10,3,4))))))</f>
        <v>0</v>
      </c>
      <c r="AK209">
        <f t="shared" si="54"/>
        <v>13.719307250375333</v>
      </c>
      <c r="AL209">
        <f t="shared" si="55"/>
        <v>612.25152466249983</v>
      </c>
      <c r="AM209">
        <f t="shared" si="56"/>
        <v>0</v>
      </c>
      <c r="AN209" t="str">
        <f t="shared" si="57"/>
        <v>Норма</v>
      </c>
      <c r="AO209">
        <f>IF(OR(AC209="",NOT(ISNUMBER(N209))),0,MAX(N209,0))</f>
        <v>40</v>
      </c>
      <c r="AP209">
        <f t="shared" si="58"/>
        <v>548.77229001501337</v>
      </c>
      <c r="AQ209">
        <f>IF(OR(AC209="",NOT(ISNUMBER(O209))),0,MAX(O209,0)*S209)</f>
        <v>0</v>
      </c>
      <c r="AR209">
        <f t="shared" si="59"/>
        <v>0</v>
      </c>
    </row>
    <row r="210" spans="1:44" x14ac:dyDescent="0.25">
      <c r="A210">
        <v>1855014</v>
      </c>
      <c r="B210" t="s">
        <v>20</v>
      </c>
      <c r="C210" t="s">
        <v>451</v>
      </c>
      <c r="D210" t="s">
        <v>744</v>
      </c>
      <c r="E210" t="s">
        <v>22</v>
      </c>
      <c r="F210" t="s">
        <v>23</v>
      </c>
      <c r="G210" t="s">
        <v>24</v>
      </c>
      <c r="H210" t="s">
        <v>25</v>
      </c>
      <c r="I210" t="s">
        <v>26</v>
      </c>
      <c r="J210" s="5">
        <v>2552.7554572200002</v>
      </c>
      <c r="K210" t="s">
        <v>27</v>
      </c>
      <c r="L210" s="5">
        <v>4322.8882367400001</v>
      </c>
      <c r="M210" t="s">
        <v>452</v>
      </c>
      <c r="N210" s="12">
        <v>38</v>
      </c>
      <c r="O210">
        <v>0</v>
      </c>
      <c r="P210" t="s">
        <v>204</v>
      </c>
      <c r="Q210" s="5">
        <v>0</v>
      </c>
      <c r="R210" s="5">
        <v>3497.2749763913998</v>
      </c>
      <c r="S210" s="10">
        <v>3674.4550012290001</v>
      </c>
      <c r="T210" s="8">
        <v>4.8219402544959267E-2</v>
      </c>
      <c r="U210" s="5">
        <v>139629.29004670199</v>
      </c>
      <c r="V210" s="5">
        <v>6732.8409438287981</v>
      </c>
      <c r="W210" s="5">
        <v>0</v>
      </c>
    </row>
    <row r="211" spans="1:44" x14ac:dyDescent="0.25">
      <c r="A211">
        <v>163789</v>
      </c>
      <c r="B211" t="s">
        <v>30</v>
      </c>
      <c r="C211" t="s">
        <v>453</v>
      </c>
      <c r="D211" t="s">
        <v>803</v>
      </c>
      <c r="E211" t="s">
        <v>22</v>
      </c>
      <c r="F211" t="s">
        <v>23</v>
      </c>
      <c r="G211" t="s">
        <v>24</v>
      </c>
      <c r="H211" t="s">
        <v>25</v>
      </c>
      <c r="I211" t="s">
        <v>26</v>
      </c>
      <c r="J211" s="5">
        <v>1461.2640839999999</v>
      </c>
      <c r="K211" t="s">
        <v>27</v>
      </c>
      <c r="L211" s="5">
        <v>4692.4744467599994</v>
      </c>
      <c r="M211" t="s">
        <v>454</v>
      </c>
      <c r="N211" s="12">
        <v>38</v>
      </c>
      <c r="O211">
        <v>4</v>
      </c>
      <c r="P211" t="s">
        <v>204</v>
      </c>
      <c r="Q211" s="5">
        <v>2134</v>
      </c>
      <c r="R211" s="5">
        <v>2001.93179508</v>
      </c>
      <c r="S211" s="10">
        <v>3988.6032797459989</v>
      </c>
      <c r="T211" s="8">
        <v>0.48639539800748099</v>
      </c>
      <c r="U211" s="5">
        <v>151566.92463034799</v>
      </c>
      <c r="V211" s="5">
        <v>73721.454630347987</v>
      </c>
      <c r="W211" s="5">
        <v>0</v>
      </c>
      <c r="X211" s="5"/>
    </row>
    <row r="212" spans="1:44" x14ac:dyDescent="0.25">
      <c r="A212">
        <v>1752054</v>
      </c>
      <c r="B212" t="s">
        <v>20</v>
      </c>
      <c r="C212" t="s">
        <v>455</v>
      </c>
      <c r="D212" t="s">
        <v>744</v>
      </c>
      <c r="E212" t="s">
        <v>22</v>
      </c>
      <c r="F212" t="s">
        <v>23</v>
      </c>
      <c r="G212" t="s">
        <v>24</v>
      </c>
      <c r="H212" t="s">
        <v>25</v>
      </c>
      <c r="I212" t="s">
        <v>26</v>
      </c>
      <c r="J212" s="5">
        <v>1086.8358720000001</v>
      </c>
      <c r="K212" t="s">
        <v>27</v>
      </c>
      <c r="L212" s="5">
        <v>3488.55413064</v>
      </c>
      <c r="M212" t="s">
        <v>456</v>
      </c>
      <c r="N212" s="12">
        <v>36</v>
      </c>
      <c r="O212">
        <v>1</v>
      </c>
      <c r="P212" t="s">
        <v>204</v>
      </c>
      <c r="Q212" s="5">
        <v>1587</v>
      </c>
      <c r="R212" s="5">
        <v>1488.9651446400001</v>
      </c>
      <c r="S212" s="10">
        <v>2965.2710110439998</v>
      </c>
      <c r="T212" s="8">
        <v>0.48620210620694843</v>
      </c>
      <c r="U212" s="5">
        <v>106749.756397584</v>
      </c>
      <c r="V212" s="5">
        <v>51901.956397583999</v>
      </c>
      <c r="W212" s="5">
        <v>0</v>
      </c>
      <c r="X212" s="5"/>
    </row>
    <row r="213" spans="1:44" x14ac:dyDescent="0.25">
      <c r="A213">
        <v>1859659</v>
      </c>
      <c r="B213" t="s">
        <v>20</v>
      </c>
      <c r="C213" t="s">
        <v>457</v>
      </c>
      <c r="D213" t="s">
        <v>744</v>
      </c>
      <c r="E213" t="s">
        <v>22</v>
      </c>
      <c r="F213" t="s">
        <v>23</v>
      </c>
      <c r="G213" t="s">
        <v>24</v>
      </c>
      <c r="H213" t="s">
        <v>25</v>
      </c>
      <c r="I213" t="s">
        <v>26</v>
      </c>
      <c r="J213" s="5">
        <v>1547.415708</v>
      </c>
      <c r="K213" t="s">
        <v>27</v>
      </c>
      <c r="L213" s="5">
        <v>4289.1073791299996</v>
      </c>
      <c r="M213" t="s">
        <v>458</v>
      </c>
      <c r="N213" s="12">
        <v>34</v>
      </c>
      <c r="O213">
        <v>9</v>
      </c>
      <c r="P213" t="s">
        <v>204</v>
      </c>
      <c r="Q213" s="5">
        <v>2063</v>
      </c>
      <c r="R213" s="5">
        <v>2119.9595199599999</v>
      </c>
      <c r="S213" s="10">
        <v>3645.7412722605</v>
      </c>
      <c r="T213" s="8">
        <v>0.41663166934462798</v>
      </c>
      <c r="U213" s="5">
        <v>123955.203256857</v>
      </c>
      <c r="V213" s="5">
        <v>51643.663256857013</v>
      </c>
      <c r="W213" s="5">
        <v>0</v>
      </c>
      <c r="X213" s="5"/>
    </row>
    <row r="214" spans="1:44" x14ac:dyDescent="0.25">
      <c r="A214">
        <v>1859664</v>
      </c>
      <c r="B214" t="s">
        <v>30</v>
      </c>
      <c r="C214" t="s">
        <v>459</v>
      </c>
      <c r="D214" t="s">
        <v>744</v>
      </c>
      <c r="E214" t="s">
        <v>22</v>
      </c>
      <c r="F214" t="s">
        <v>23</v>
      </c>
      <c r="G214" t="s">
        <v>24</v>
      </c>
      <c r="H214" t="s">
        <v>25</v>
      </c>
      <c r="I214" t="s">
        <v>26</v>
      </c>
      <c r="J214" s="5">
        <v>1380.082746</v>
      </c>
      <c r="K214" t="s">
        <v>27</v>
      </c>
      <c r="L214" s="5">
        <v>3825.28404783</v>
      </c>
      <c r="M214" t="s">
        <v>460</v>
      </c>
      <c r="N214" s="12">
        <v>34</v>
      </c>
      <c r="O214">
        <v>2</v>
      </c>
      <c r="P214" t="s">
        <v>204</v>
      </c>
      <c r="Q214" s="5">
        <v>1706</v>
      </c>
      <c r="R214" s="5">
        <v>1890.71336202</v>
      </c>
      <c r="S214" s="10">
        <v>3251.4914406554999</v>
      </c>
      <c r="T214" s="8">
        <v>0.49473955875805659</v>
      </c>
      <c r="U214" s="5">
        <v>110550.708982287</v>
      </c>
      <c r="V214" s="5">
        <v>54693.808982287002</v>
      </c>
      <c r="W214" s="5">
        <v>0</v>
      </c>
      <c r="X214" s="5"/>
    </row>
    <row r="215" spans="1:44" x14ac:dyDescent="0.25">
      <c r="A215">
        <v>170266</v>
      </c>
      <c r="B215" t="s">
        <v>30</v>
      </c>
      <c r="C215" t="s">
        <v>461</v>
      </c>
      <c r="D215">
        <v>8710610</v>
      </c>
      <c r="E215" t="s">
        <v>22</v>
      </c>
      <c r="F215" t="s">
        <v>23</v>
      </c>
      <c r="G215" t="s">
        <v>24</v>
      </c>
      <c r="H215" t="s">
        <v>25</v>
      </c>
      <c r="I215" t="s">
        <v>26</v>
      </c>
      <c r="J215" s="5">
        <v>1893.126712</v>
      </c>
      <c r="K215" t="s">
        <v>27</v>
      </c>
      <c r="L215" s="5">
        <v>6535.5772141199996</v>
      </c>
      <c r="M215" t="s">
        <v>462</v>
      </c>
      <c r="N215" s="12">
        <v>32</v>
      </c>
      <c r="O215">
        <v>0</v>
      </c>
      <c r="P215" t="s">
        <v>204</v>
      </c>
      <c r="Q215" s="5">
        <v>0</v>
      </c>
      <c r="R215" s="5">
        <v>2593.58359544</v>
      </c>
      <c r="S215" s="10">
        <v>5555.2406320019991</v>
      </c>
      <c r="T215" s="8">
        <v>0.53312848763036857</v>
      </c>
      <c r="U215" s="5">
        <v>177767.700224064</v>
      </c>
      <c r="V215" s="5">
        <v>94773.025169983957</v>
      </c>
      <c r="W215" s="5">
        <v>0</v>
      </c>
    </row>
    <row r="216" spans="1:44" x14ac:dyDescent="0.25">
      <c r="A216">
        <v>1855010</v>
      </c>
      <c r="B216" t="s">
        <v>30</v>
      </c>
      <c r="C216" t="s">
        <v>463</v>
      </c>
      <c r="D216" t="s">
        <v>744</v>
      </c>
      <c r="E216" t="s">
        <v>22</v>
      </c>
      <c r="F216" t="s">
        <v>23</v>
      </c>
      <c r="G216" t="s">
        <v>24</v>
      </c>
      <c r="H216" t="s">
        <v>25</v>
      </c>
      <c r="I216" t="s">
        <v>26</v>
      </c>
      <c r="J216" s="5">
        <v>1344.186236</v>
      </c>
      <c r="K216" t="s">
        <v>27</v>
      </c>
      <c r="L216" s="5">
        <v>3858.9964191600002</v>
      </c>
      <c r="M216" t="s">
        <v>464</v>
      </c>
      <c r="N216" s="12">
        <v>31</v>
      </c>
      <c r="O216">
        <v>8</v>
      </c>
      <c r="P216" t="s">
        <v>204</v>
      </c>
      <c r="Q216" s="5">
        <v>1823</v>
      </c>
      <c r="R216" s="5">
        <v>1841.5351433200001</v>
      </c>
      <c r="S216" s="10">
        <v>3280.1469562860002</v>
      </c>
      <c r="T216" s="8">
        <v>0.46631862637172028</v>
      </c>
      <c r="U216" s="5">
        <v>101684.55564486601</v>
      </c>
      <c r="V216" s="5">
        <v>47417.402311532671</v>
      </c>
      <c r="W216" s="5">
        <v>0</v>
      </c>
    </row>
    <row r="217" spans="1:44" x14ac:dyDescent="0.25">
      <c r="A217">
        <v>1859658</v>
      </c>
      <c r="B217" t="s">
        <v>30</v>
      </c>
      <c r="C217" t="s">
        <v>465</v>
      </c>
      <c r="D217" t="s">
        <v>744</v>
      </c>
      <c r="E217" t="s">
        <v>22</v>
      </c>
      <c r="F217" t="s">
        <v>23</v>
      </c>
      <c r="G217" t="s">
        <v>24</v>
      </c>
      <c r="H217" t="s">
        <v>25</v>
      </c>
      <c r="I217" t="s">
        <v>26</v>
      </c>
      <c r="J217" s="5">
        <v>1070.2682520000001</v>
      </c>
      <c r="K217" t="s">
        <v>27</v>
      </c>
      <c r="L217" s="5">
        <v>3505.9325241900001</v>
      </c>
      <c r="M217" t="s">
        <v>466</v>
      </c>
      <c r="N217" s="12">
        <v>31</v>
      </c>
      <c r="O217">
        <v>8</v>
      </c>
      <c r="P217" t="s">
        <v>204</v>
      </c>
      <c r="Q217" s="5">
        <v>1524</v>
      </c>
      <c r="R217" s="5">
        <v>1466.26750524</v>
      </c>
      <c r="S217" s="10">
        <v>2980.0426455615002</v>
      </c>
      <c r="T217" s="8">
        <v>0.51572714835156974</v>
      </c>
      <c r="U217" s="5">
        <v>92381.322012406512</v>
      </c>
      <c r="V217" s="5">
        <v>47643.555762406511</v>
      </c>
      <c r="W217" s="5">
        <v>0</v>
      </c>
      <c r="X217" s="5"/>
    </row>
    <row r="218" spans="1:44" x14ac:dyDescent="0.25">
      <c r="A218">
        <v>170275</v>
      </c>
      <c r="B218" t="s">
        <v>30</v>
      </c>
      <c r="C218" t="s">
        <v>467</v>
      </c>
      <c r="D218" t="s">
        <v>733</v>
      </c>
      <c r="E218" t="s">
        <v>22</v>
      </c>
      <c r="F218" t="s">
        <v>23</v>
      </c>
      <c r="G218" t="s">
        <v>24</v>
      </c>
      <c r="H218" t="s">
        <v>25</v>
      </c>
      <c r="I218" t="s">
        <v>26</v>
      </c>
      <c r="J218" s="5">
        <v>1302.2149320000001</v>
      </c>
      <c r="K218" t="s">
        <v>27</v>
      </c>
      <c r="L218" s="5">
        <v>4181.8921077899986</v>
      </c>
      <c r="M218" t="s">
        <v>468</v>
      </c>
      <c r="N218" s="12">
        <v>30</v>
      </c>
      <c r="O218">
        <v>2</v>
      </c>
      <c r="P218" t="s">
        <v>204</v>
      </c>
      <c r="Q218" s="5">
        <v>1897</v>
      </c>
      <c r="R218" s="5">
        <v>1784.0344568400001</v>
      </c>
      <c r="S218" s="10">
        <v>3554.6082916215</v>
      </c>
      <c r="T218" s="8">
        <v>0.48780713636115458</v>
      </c>
      <c r="U218" s="5">
        <v>106638.248748645</v>
      </c>
      <c r="V218" s="5">
        <v>52018.898748644977</v>
      </c>
      <c r="W218" s="5">
        <v>0</v>
      </c>
      <c r="X218" s="5"/>
    </row>
    <row r="219" spans="1:44" x14ac:dyDescent="0.25">
      <c r="A219">
        <v>170246</v>
      </c>
      <c r="B219" t="s">
        <v>20</v>
      </c>
      <c r="C219" t="s">
        <v>469</v>
      </c>
      <c r="D219" t="s">
        <v>744</v>
      </c>
      <c r="E219" t="s">
        <v>22</v>
      </c>
      <c r="F219" t="s">
        <v>23</v>
      </c>
      <c r="G219" t="s">
        <v>24</v>
      </c>
      <c r="H219" t="s">
        <v>25</v>
      </c>
      <c r="I219" t="s">
        <v>26</v>
      </c>
      <c r="J219" s="5">
        <v>1508.205674</v>
      </c>
      <c r="K219" t="s">
        <v>27</v>
      </c>
      <c r="L219" s="5">
        <v>4841.4492273300002</v>
      </c>
      <c r="M219" t="s">
        <v>470</v>
      </c>
      <c r="N219" s="12">
        <v>29</v>
      </c>
      <c r="O219">
        <v>2</v>
      </c>
      <c r="P219" t="s">
        <v>204</v>
      </c>
      <c r="Q219" s="5">
        <v>2197</v>
      </c>
      <c r="R219" s="5">
        <v>2066.2417733799998</v>
      </c>
      <c r="S219" s="10">
        <v>4115.2318432305001</v>
      </c>
      <c r="T219" s="8">
        <v>0.48761574552146192</v>
      </c>
      <c r="U219" s="5">
        <v>119341.72345368451</v>
      </c>
      <c r="V219" s="5">
        <v>58192.903453684507</v>
      </c>
      <c r="W219" s="5">
        <v>0</v>
      </c>
      <c r="X219" s="5"/>
    </row>
    <row r="220" spans="1:44" x14ac:dyDescent="0.25">
      <c r="A220">
        <v>130927</v>
      </c>
      <c r="B220" t="s">
        <v>20</v>
      </c>
      <c r="C220" t="s">
        <v>471</v>
      </c>
      <c r="D220" t="s">
        <v>804</v>
      </c>
      <c r="E220" t="s">
        <v>22</v>
      </c>
      <c r="F220" t="s">
        <v>23</v>
      </c>
      <c r="G220" t="s">
        <v>24</v>
      </c>
      <c r="H220" t="s">
        <v>25</v>
      </c>
      <c r="I220" t="s">
        <v>26</v>
      </c>
      <c r="J220" s="5">
        <v>1537.475136</v>
      </c>
      <c r="K220" t="s">
        <v>27</v>
      </c>
      <c r="L220" s="5">
        <v>4717.3007232599994</v>
      </c>
      <c r="M220" t="s">
        <v>472</v>
      </c>
      <c r="N220" s="12">
        <v>29</v>
      </c>
      <c r="O220">
        <v>0</v>
      </c>
      <c r="P220" t="s">
        <v>204</v>
      </c>
      <c r="Q220" s="5">
        <v>0</v>
      </c>
      <c r="R220" s="5">
        <v>2106.3409363199999</v>
      </c>
      <c r="S220" s="10">
        <v>4009.705614771</v>
      </c>
      <c r="T220" s="8">
        <v>0.47468938154446122</v>
      </c>
      <c r="U220" s="5">
        <v>116281.462828359</v>
      </c>
      <c r="V220" s="5">
        <v>55197.575675078973</v>
      </c>
      <c r="W220" s="5">
        <v>3659.5</v>
      </c>
      <c r="X220" s="8">
        <f>1-(S220/W220)</f>
        <v>-9.5697667651591711E-2</v>
      </c>
      <c r="AB220">
        <f>A220</f>
        <v>130927</v>
      </c>
      <c r="AC220">
        <f>IFERROR(IF(OR(NOT(ISNUMBER(S220)),NOT(ISNUMBER(W220))),"",IF(OR(S220&lt;=0,W220&lt;=0),"",(1-S220/W220)*100)),"")</f>
        <v>-9.5697667651591711</v>
      </c>
      <c r="AD220">
        <f>IF(AC220="","",(MAX(S220,W220)/MIN(S220,W220)-1)*100)</f>
        <v>9.5697667651591711</v>
      </c>
      <c r="AE220">
        <f>IF(AC220="","",ABS(W220-S220))</f>
        <v>350.205614771</v>
      </c>
      <c r="AF220">
        <f>IF(AC220="","",IF(AND(AE220&lt;MAX(Расч!$B$11,S220*Расч!$B$12),IF(AD220&lt;Расч!$B$7,0,IF(AD220&lt;Расч!$B$8,1,IF(AD220&lt;Расч!$B$9,2,IF(AD220&lt;Расч!$B$10,3,4))))&gt;1),1,IF(AD220&lt;Расч!$B$7,0,IF(AD220&lt;Расч!$B$8,1,IF(AD220&lt;Расч!$B$9,2,IF(AD220&lt;Расч!$B$10,3,4))))))</f>
        <v>0</v>
      </c>
      <c r="AK220">
        <f t="shared" ref="AK220:AK221" si="60">IF(AC220="","",AC220)</f>
        <v>-9.5697667651591711</v>
      </c>
      <c r="AL220">
        <f t="shared" ref="AL220:AL221" si="61">IF(AE220="","",AE220)</f>
        <v>350.205614771</v>
      </c>
      <c r="AM220">
        <f t="shared" ref="AM220:AM221" si="62">IF(AF220="","",AF220)</f>
        <v>0</v>
      </c>
      <c r="AN220" t="str">
        <f t="shared" ref="AN220:AN221" si="63">IF(AM220="","нет данных",CHOOSE(AM220+1,"Норма","Лёгкое отклонение","Заметный разброс","Выброс","Экстремальный выброс"))</f>
        <v>Норма</v>
      </c>
      <c r="AO220">
        <f>IF(OR(AC220="",NOT(ISNUMBER(N220))),0,MAX(N220,0))</f>
        <v>29</v>
      </c>
      <c r="AP220">
        <f t="shared" ref="AP220:AP221" si="64">IF(AC220="",0,AC220*AO220)</f>
        <v>-277.52323618961594</v>
      </c>
      <c r="AQ220">
        <f>IF(OR(AC220="",NOT(ISNUMBER(O220))),0,MAX(O220,0)*S220)</f>
        <v>0</v>
      </c>
      <c r="AR220">
        <f t="shared" ref="AR220:AR221" si="65">IF(AC220="",0,AC220*AQ220)</f>
        <v>0</v>
      </c>
    </row>
    <row r="221" spans="1:44" x14ac:dyDescent="0.25">
      <c r="A221">
        <v>170258</v>
      </c>
      <c r="B221" t="s">
        <v>20</v>
      </c>
      <c r="C221" t="s">
        <v>473</v>
      </c>
      <c r="D221" t="s">
        <v>744</v>
      </c>
      <c r="E221" t="s">
        <v>22</v>
      </c>
      <c r="F221" t="s">
        <v>23</v>
      </c>
      <c r="G221" t="s">
        <v>24</v>
      </c>
      <c r="H221" t="s">
        <v>25</v>
      </c>
      <c r="I221" t="s">
        <v>26</v>
      </c>
      <c r="J221" s="5">
        <v>1831.2742639999999</v>
      </c>
      <c r="K221" t="s">
        <v>27</v>
      </c>
      <c r="L221" s="5">
        <v>5707.2699006599996</v>
      </c>
      <c r="M221" t="s">
        <v>474</v>
      </c>
      <c r="N221" s="12">
        <v>29</v>
      </c>
      <c r="O221">
        <v>3</v>
      </c>
      <c r="P221" t="s">
        <v>204</v>
      </c>
      <c r="Q221" s="5">
        <v>2360</v>
      </c>
      <c r="R221" s="5">
        <v>2508.8457416800002</v>
      </c>
      <c r="S221" s="10">
        <v>4851.1794155609996</v>
      </c>
      <c r="T221" s="8">
        <v>0.53579587413804575</v>
      </c>
      <c r="U221" s="5">
        <v>140684.203051269</v>
      </c>
      <c r="V221" s="5">
        <v>75378.015551268996</v>
      </c>
      <c r="W221" s="5">
        <v>4447.8999999999996</v>
      </c>
      <c r="X221" s="8">
        <f>1-(S221/W221)</f>
        <v>-9.0667374617459995E-2</v>
      </c>
      <c r="AB221">
        <f>A221</f>
        <v>170258</v>
      </c>
      <c r="AC221">
        <f>IFERROR(IF(OR(NOT(ISNUMBER(S221)),NOT(ISNUMBER(W221))),"",IF(OR(S221&lt;=0,W221&lt;=0),"",(1-S221/W221)*100)),"")</f>
        <v>-9.0667374617459995</v>
      </c>
      <c r="AD221">
        <f>IF(AC221="","",(MAX(S221,W221)/MIN(S221,W221)-1)*100)</f>
        <v>9.0667374617459995</v>
      </c>
      <c r="AE221">
        <f>IF(AC221="","",ABS(W221-S221))</f>
        <v>403.27941556099995</v>
      </c>
      <c r="AF221">
        <f>IF(AC221="","",IF(AND(AE221&lt;MAX(Расч!$B$11,S221*Расч!$B$12),IF(AD221&lt;Расч!$B$7,0,IF(AD221&lt;Расч!$B$8,1,IF(AD221&lt;Расч!$B$9,2,IF(AD221&lt;Расч!$B$10,3,4))))&gt;1),1,IF(AD221&lt;Расч!$B$7,0,IF(AD221&lt;Расч!$B$8,1,IF(AD221&lt;Расч!$B$9,2,IF(AD221&lt;Расч!$B$10,3,4))))))</f>
        <v>0</v>
      </c>
      <c r="AK221">
        <f t="shared" si="60"/>
        <v>-9.0667374617459995</v>
      </c>
      <c r="AL221">
        <f t="shared" si="61"/>
        <v>403.27941556099995</v>
      </c>
      <c r="AM221">
        <f t="shared" si="62"/>
        <v>0</v>
      </c>
      <c r="AN221" t="str">
        <f t="shared" si="63"/>
        <v>Норма</v>
      </c>
      <c r="AO221">
        <f>IF(OR(AC221="",NOT(ISNUMBER(N221))),0,MAX(N221,0))</f>
        <v>29</v>
      </c>
      <c r="AP221">
        <f t="shared" si="64"/>
        <v>-262.93538639063399</v>
      </c>
      <c r="AQ221">
        <f>IF(OR(AC221="",NOT(ISNUMBER(O221))),0,MAX(O221,0)*S221)</f>
        <v>14553.538246682998</v>
      </c>
      <c r="AR221">
        <f t="shared" si="65"/>
        <v>-131953.11042215393</v>
      </c>
    </row>
    <row r="222" spans="1:44" x14ac:dyDescent="0.25">
      <c r="A222">
        <v>1714637</v>
      </c>
      <c r="B222" t="s">
        <v>20</v>
      </c>
      <c r="C222" t="s">
        <v>475</v>
      </c>
      <c r="D222" t="s">
        <v>744</v>
      </c>
      <c r="E222" t="s">
        <v>22</v>
      </c>
      <c r="F222" t="s">
        <v>23</v>
      </c>
      <c r="G222" t="s">
        <v>24</v>
      </c>
      <c r="H222" t="s">
        <v>25</v>
      </c>
      <c r="I222" t="s">
        <v>26</v>
      </c>
      <c r="J222" s="5">
        <v>1893.126712</v>
      </c>
      <c r="K222" t="s">
        <v>27</v>
      </c>
      <c r="L222" s="5">
        <v>5900.1443867099997</v>
      </c>
      <c r="M222" t="s">
        <v>476</v>
      </c>
      <c r="N222" s="12">
        <v>28</v>
      </c>
      <c r="O222">
        <v>1</v>
      </c>
      <c r="P222" t="s">
        <v>204</v>
      </c>
      <c r="Q222" s="5">
        <v>2453</v>
      </c>
      <c r="R222" s="5">
        <v>2593.58359544</v>
      </c>
      <c r="S222" s="10">
        <v>5015.1227287034999</v>
      </c>
      <c r="T222" s="8">
        <v>0.53294163937528571</v>
      </c>
      <c r="U222" s="5">
        <v>140423.436403698</v>
      </c>
      <c r="V222" s="5">
        <v>74837.49640369798</v>
      </c>
      <c r="W222" s="5">
        <v>0</v>
      </c>
      <c r="X222" s="5"/>
    </row>
    <row r="223" spans="1:44" x14ac:dyDescent="0.25">
      <c r="A223">
        <v>163770</v>
      </c>
      <c r="B223" t="s">
        <v>30</v>
      </c>
      <c r="C223" t="s">
        <v>477</v>
      </c>
      <c r="D223" t="s">
        <v>744</v>
      </c>
      <c r="E223" t="s">
        <v>22</v>
      </c>
      <c r="F223" t="s">
        <v>23</v>
      </c>
      <c r="G223" t="s">
        <v>24</v>
      </c>
      <c r="H223" t="s">
        <v>25</v>
      </c>
      <c r="I223" t="s">
        <v>26</v>
      </c>
      <c r="J223" s="5">
        <v>1356.888078</v>
      </c>
      <c r="K223" t="s">
        <v>27</v>
      </c>
      <c r="L223" s="5">
        <v>4358.7065611799999</v>
      </c>
      <c r="M223" t="s">
        <v>478</v>
      </c>
      <c r="N223" s="12">
        <v>28</v>
      </c>
      <c r="O223">
        <v>0</v>
      </c>
      <c r="P223" t="s">
        <v>204</v>
      </c>
      <c r="Q223" s="5">
        <v>0</v>
      </c>
      <c r="R223" s="5">
        <v>1858.9366668600001</v>
      </c>
      <c r="S223" s="10">
        <v>3704.9005770029999</v>
      </c>
      <c r="T223" s="8">
        <v>0.49824924361027062</v>
      </c>
      <c r="U223" s="5">
        <v>103737.216156084</v>
      </c>
      <c r="V223" s="5">
        <v>51686.989484003992</v>
      </c>
      <c r="W223" s="5">
        <v>0</v>
      </c>
      <c r="X223" s="5"/>
    </row>
    <row r="224" spans="1:44" x14ac:dyDescent="0.25">
      <c r="A224">
        <v>130924</v>
      </c>
      <c r="B224" t="s">
        <v>20</v>
      </c>
      <c r="C224" t="s">
        <v>479</v>
      </c>
      <c r="D224">
        <v>9675330</v>
      </c>
      <c r="E224" t="s">
        <v>22</v>
      </c>
      <c r="F224" t="s">
        <v>23</v>
      </c>
      <c r="G224" t="s">
        <v>24</v>
      </c>
      <c r="H224" t="s">
        <v>25</v>
      </c>
      <c r="I224" t="s">
        <v>26</v>
      </c>
      <c r="J224" s="5">
        <v>1379.5304920000001</v>
      </c>
      <c r="K224" t="s">
        <v>27</v>
      </c>
      <c r="L224" s="5">
        <v>4430.2233590699998</v>
      </c>
      <c r="M224" t="s">
        <v>480</v>
      </c>
      <c r="N224" s="12">
        <v>28</v>
      </c>
      <c r="O224">
        <v>15</v>
      </c>
      <c r="P224" t="s">
        <v>204</v>
      </c>
      <c r="Q224" s="5">
        <v>2015</v>
      </c>
      <c r="R224" s="5">
        <v>1889.95677404</v>
      </c>
      <c r="S224" s="10">
        <v>3765.6898552094999</v>
      </c>
      <c r="T224" s="8">
        <v>0.48644009260137477</v>
      </c>
      <c r="U224" s="5">
        <v>105439.31594586599</v>
      </c>
      <c r="V224" s="5">
        <v>51289.910612532673</v>
      </c>
      <c r="W224" s="5">
        <v>0</v>
      </c>
      <c r="X224" s="5"/>
    </row>
    <row r="225" spans="1:44" x14ac:dyDescent="0.25">
      <c r="A225">
        <v>1714649</v>
      </c>
      <c r="B225" t="s">
        <v>30</v>
      </c>
      <c r="C225" t="s">
        <v>481</v>
      </c>
      <c r="D225" t="s">
        <v>744</v>
      </c>
      <c r="E225" t="s">
        <v>22</v>
      </c>
      <c r="F225" t="s">
        <v>23</v>
      </c>
      <c r="G225" t="s">
        <v>24</v>
      </c>
      <c r="H225" t="s">
        <v>25</v>
      </c>
      <c r="I225" t="s">
        <v>26</v>
      </c>
      <c r="J225" s="5">
        <v>1013.38609</v>
      </c>
      <c r="K225" t="s">
        <v>27</v>
      </c>
      <c r="L225" s="5">
        <v>3157.4229668399998</v>
      </c>
      <c r="M225" t="s">
        <v>482</v>
      </c>
      <c r="N225" s="12">
        <v>27</v>
      </c>
      <c r="O225">
        <v>0</v>
      </c>
      <c r="P225" t="s">
        <v>204</v>
      </c>
      <c r="Q225" s="5">
        <v>0</v>
      </c>
      <c r="R225" s="5">
        <v>1388.3389433</v>
      </c>
      <c r="S225" s="10">
        <v>2683.8095218140002</v>
      </c>
      <c r="T225" s="8">
        <v>0.48269840612175219</v>
      </c>
      <c r="U225" s="5">
        <v>72462.857088977995</v>
      </c>
      <c r="V225" s="5">
        <v>34977.70561987799</v>
      </c>
      <c r="W225" s="5">
        <v>0</v>
      </c>
      <c r="X225" s="5"/>
    </row>
    <row r="226" spans="1:44" x14ac:dyDescent="0.25">
      <c r="A226">
        <v>1853617</v>
      </c>
      <c r="B226" t="s">
        <v>252</v>
      </c>
      <c r="C226" t="s">
        <v>483</v>
      </c>
      <c r="D226" t="s">
        <v>744</v>
      </c>
      <c r="E226" t="s">
        <v>22</v>
      </c>
      <c r="F226" t="s">
        <v>23</v>
      </c>
      <c r="G226" t="s">
        <v>24</v>
      </c>
      <c r="H226" t="s">
        <v>25</v>
      </c>
      <c r="I226" t="s">
        <v>26</v>
      </c>
      <c r="J226" s="5">
        <v>1863.85725</v>
      </c>
      <c r="K226" t="s">
        <v>27</v>
      </c>
      <c r="L226" s="5">
        <v>4144.7725440300001</v>
      </c>
      <c r="M226" t="s">
        <v>484</v>
      </c>
      <c r="N226" s="12">
        <v>26</v>
      </c>
      <c r="O226">
        <v>0</v>
      </c>
      <c r="P226" t="s">
        <v>204</v>
      </c>
      <c r="Q226" s="5">
        <v>0</v>
      </c>
      <c r="R226" s="5">
        <v>2553.4844324999999</v>
      </c>
      <c r="S226" s="10">
        <v>3523.0566624254998</v>
      </c>
      <c r="T226" s="8">
        <v>0.27520767413884939</v>
      </c>
      <c r="U226" s="5">
        <v>91599.473223062989</v>
      </c>
      <c r="V226" s="5">
        <v>25208.877978062981</v>
      </c>
      <c r="W226" s="5">
        <v>7320.9</v>
      </c>
      <c r="X226" s="8">
        <f>1-(S226/W226)</f>
        <v>0.51876727418411672</v>
      </c>
      <c r="AB226">
        <f>A226</f>
        <v>1853617</v>
      </c>
      <c r="AC226">
        <f>IFERROR(IF(OR(NOT(ISNUMBER(S226)),NOT(ISNUMBER(W226))),"",IF(OR(S226&lt;=0,W226&lt;=0),"",(1-S226/W226)*100)),"")</f>
        <v>51.876727418411676</v>
      </c>
      <c r="AD226">
        <f>IF(AC226="","",(MAX(S226,W226)/MIN(S226,W226)-1)*100)</f>
        <v>107.79966663833953</v>
      </c>
      <c r="AE226">
        <f>IF(AC226="","",ABS(W226-S226))</f>
        <v>3797.8433375744999</v>
      </c>
      <c r="AF226">
        <f>IF(AC226="","",IF(AND(AE226&lt;MAX(Расч!$B$11,S226*Расч!$B$12),IF(AD226&lt;Расч!$B$7,0,IF(AD226&lt;Расч!$B$8,1,IF(AD226&lt;Расч!$B$9,2,IF(AD226&lt;Расч!$B$10,3,4))))&gt;1),1,IF(AD226&lt;Расч!$B$7,0,IF(AD226&lt;Расч!$B$8,1,IF(AD226&lt;Расч!$B$9,2,IF(AD226&lt;Расч!$B$10,3,4))))))</f>
        <v>4</v>
      </c>
      <c r="AK226">
        <f>IF(AC226="","",AC226)</f>
        <v>51.876727418411676</v>
      </c>
      <c r="AL226">
        <f>IF(AE226="","",AE226)</f>
        <v>3797.8433375744999</v>
      </c>
      <c r="AM226">
        <f>IF(AF226="","",AF226)</f>
        <v>4</v>
      </c>
      <c r="AN226" t="str">
        <f>IF(AM226="","нет данных",CHOOSE(AM226+1,"Норма","Лёгкое отклонение","Заметный разброс","Выброс","Экстремальный выброс"))</f>
        <v>Экстремальный выброс</v>
      </c>
      <c r="AO226">
        <f>IF(OR(AC226="",NOT(ISNUMBER(N226))),0,MAX(N226,0))</f>
        <v>26</v>
      </c>
      <c r="AP226">
        <f>IF(AC226="",0,AC226*AO226)</f>
        <v>1348.7949128787036</v>
      </c>
      <c r="AQ226">
        <f>IF(OR(AC226="",NOT(ISNUMBER(O226))),0,MAX(O226,0)*S226)</f>
        <v>0</v>
      </c>
      <c r="AR226">
        <f>IF(AC226="",0,AC226*AQ226)</f>
        <v>0</v>
      </c>
    </row>
    <row r="227" spans="1:44" x14ac:dyDescent="0.25">
      <c r="A227">
        <v>1859649</v>
      </c>
      <c r="B227" t="s">
        <v>30</v>
      </c>
      <c r="C227" t="s">
        <v>485</v>
      </c>
      <c r="D227" t="s">
        <v>744</v>
      </c>
      <c r="E227" t="s">
        <v>22</v>
      </c>
      <c r="F227" t="s">
        <v>23</v>
      </c>
      <c r="G227" t="s">
        <v>24</v>
      </c>
      <c r="H227" t="s">
        <v>25</v>
      </c>
      <c r="I227" t="s">
        <v>26</v>
      </c>
      <c r="J227" s="5">
        <v>964.23548400000004</v>
      </c>
      <c r="K227" t="s">
        <v>27</v>
      </c>
      <c r="L227" s="5">
        <v>2895.3944595600001</v>
      </c>
      <c r="M227" t="s">
        <v>486</v>
      </c>
      <c r="N227" s="12">
        <v>26</v>
      </c>
      <c r="O227">
        <v>8</v>
      </c>
      <c r="P227" t="s">
        <v>204</v>
      </c>
      <c r="Q227" s="5">
        <v>1436</v>
      </c>
      <c r="R227" s="5">
        <v>1321.0026130799999</v>
      </c>
      <c r="S227" s="10">
        <v>2461.0852906260002</v>
      </c>
      <c r="T227" s="8">
        <v>0.4357320032929719</v>
      </c>
      <c r="U227" s="5">
        <v>63988.217556275988</v>
      </c>
      <c r="V227" s="5">
        <v>27881.71422294265</v>
      </c>
      <c r="W227" s="5">
        <v>0</v>
      </c>
      <c r="X227" s="5"/>
    </row>
    <row r="228" spans="1:44" x14ac:dyDescent="0.25">
      <c r="A228">
        <v>130885</v>
      </c>
      <c r="B228" t="s">
        <v>20</v>
      </c>
      <c r="C228" t="s">
        <v>487</v>
      </c>
      <c r="D228" t="s">
        <v>744</v>
      </c>
      <c r="E228" t="s">
        <v>22</v>
      </c>
      <c r="F228" t="s">
        <v>23</v>
      </c>
      <c r="G228" t="s">
        <v>24</v>
      </c>
      <c r="H228" t="s">
        <v>25</v>
      </c>
      <c r="I228" t="s">
        <v>26</v>
      </c>
      <c r="J228" s="5">
        <v>1802.5570560000001</v>
      </c>
      <c r="K228" t="s">
        <v>27</v>
      </c>
      <c r="L228" s="5">
        <v>7265.7436883399996</v>
      </c>
      <c r="M228" t="s">
        <v>488</v>
      </c>
      <c r="N228" s="12">
        <v>26</v>
      </c>
      <c r="O228">
        <v>8</v>
      </c>
      <c r="P228" t="s">
        <v>204</v>
      </c>
      <c r="Q228" s="5">
        <v>2662</v>
      </c>
      <c r="R228" s="5">
        <v>2469.503166720001</v>
      </c>
      <c r="S228" s="10">
        <v>6175.8821350889993</v>
      </c>
      <c r="T228" s="8">
        <v>0.5863063320432822</v>
      </c>
      <c r="U228" s="5">
        <v>160572.935512314</v>
      </c>
      <c r="V228" s="5">
        <v>94144.928845647286</v>
      </c>
      <c r="W228" s="5">
        <v>0</v>
      </c>
      <c r="X228" s="5"/>
    </row>
    <row r="229" spans="1:44" x14ac:dyDescent="0.25">
      <c r="A229">
        <v>170271</v>
      </c>
      <c r="B229" t="s">
        <v>30</v>
      </c>
      <c r="C229" t="s">
        <v>489</v>
      </c>
      <c r="D229" t="s">
        <v>734</v>
      </c>
      <c r="E229" t="s">
        <v>22</v>
      </c>
      <c r="F229" t="s">
        <v>23</v>
      </c>
      <c r="G229" t="s">
        <v>24</v>
      </c>
      <c r="H229" t="s">
        <v>25</v>
      </c>
      <c r="I229" t="s">
        <v>26</v>
      </c>
      <c r="J229" s="5">
        <v>1518.6985</v>
      </c>
      <c r="K229" t="s">
        <v>27</v>
      </c>
      <c r="L229" s="5">
        <v>4877.2161870599994</v>
      </c>
      <c r="M229" t="s">
        <v>490</v>
      </c>
      <c r="N229" s="12">
        <v>24</v>
      </c>
      <c r="O229">
        <v>2</v>
      </c>
      <c r="P229" t="s">
        <v>204</v>
      </c>
      <c r="Q229" s="5">
        <v>2212</v>
      </c>
      <c r="R229" s="5">
        <v>2080.6169450000002</v>
      </c>
      <c r="S229" s="10">
        <v>4145.6337590009989</v>
      </c>
      <c r="T229" s="8">
        <v>0.48785514509327199</v>
      </c>
      <c r="U229" s="5">
        <v>99495.210216023974</v>
      </c>
      <c r="V229" s="5">
        <v>48539.250216023967</v>
      </c>
      <c r="W229" s="5">
        <v>0</v>
      </c>
    </row>
    <row r="230" spans="1:44" x14ac:dyDescent="0.25">
      <c r="A230">
        <v>1714638</v>
      </c>
      <c r="B230" t="s">
        <v>20</v>
      </c>
      <c r="C230" t="s">
        <v>491</v>
      </c>
      <c r="D230">
        <v>9544911</v>
      </c>
      <c r="E230" t="s">
        <v>22</v>
      </c>
      <c r="F230" t="s">
        <v>23</v>
      </c>
      <c r="G230" t="s">
        <v>24</v>
      </c>
      <c r="H230" t="s">
        <v>25</v>
      </c>
      <c r="I230" t="s">
        <v>26</v>
      </c>
      <c r="J230" s="5">
        <v>1251.959818</v>
      </c>
      <c r="K230" t="s">
        <v>27</v>
      </c>
      <c r="L230" s="5">
        <v>4019.01461238</v>
      </c>
      <c r="M230" t="s">
        <v>492</v>
      </c>
      <c r="N230" s="12">
        <v>22</v>
      </c>
      <c r="O230">
        <v>2</v>
      </c>
      <c r="P230" t="s">
        <v>204</v>
      </c>
      <c r="Q230" s="5">
        <v>1832</v>
      </c>
      <c r="R230" s="5">
        <v>1715.1849506599999</v>
      </c>
      <c r="S230" s="10">
        <v>3416.162420523</v>
      </c>
      <c r="T230" s="8">
        <v>0.48528940268278981</v>
      </c>
      <c r="U230" s="5">
        <v>75155.573251505994</v>
      </c>
      <c r="V230" s="5">
        <v>36472.203251505991</v>
      </c>
      <c r="W230" s="5">
        <v>2960.1</v>
      </c>
      <c r="X230" s="8">
        <f>1-(S230/W230)</f>
        <v>-0.15406993700314175</v>
      </c>
      <c r="AB230">
        <f>A230</f>
        <v>1714638</v>
      </c>
      <c r="AC230">
        <f>IFERROR(IF(OR(NOT(ISNUMBER(S230)),NOT(ISNUMBER(W230))),"",IF(OR(S230&lt;=0,W230&lt;=0),"",(1-S230/W230)*100)),"")</f>
        <v>-15.406993700314175</v>
      </c>
      <c r="AD230">
        <f>IF(AC230="","",(MAX(S230,W230)/MIN(S230,W230)-1)*100)</f>
        <v>15.406993700314175</v>
      </c>
      <c r="AE230">
        <f>IF(AC230="","",ABS(W230-S230))</f>
        <v>456.06242052300013</v>
      </c>
      <c r="AF230">
        <f>IF(AC230="","",IF(AND(AE230&lt;MAX(Расч!$B$11,S230*Расч!$B$12),IF(AD230&lt;Расч!$B$7,0,IF(AD230&lt;Расч!$B$8,1,IF(AD230&lt;Расч!$B$9,2,IF(AD230&lt;Расч!$B$10,3,4))))&gt;1),1,IF(AD230&lt;Расч!$B$7,0,IF(AD230&lt;Расч!$B$8,1,IF(AD230&lt;Расч!$B$9,2,IF(AD230&lt;Расч!$B$10,3,4))))))</f>
        <v>0</v>
      </c>
      <c r="AK230">
        <f>IF(AC230="","",AC230)</f>
        <v>-15.406993700314175</v>
      </c>
      <c r="AL230">
        <f>IF(AE230="","",AE230)</f>
        <v>456.06242052300013</v>
      </c>
      <c r="AM230">
        <f>IF(AF230="","",AF230)</f>
        <v>0</v>
      </c>
      <c r="AN230" t="str">
        <f>IF(AM230="","нет данных",CHOOSE(AM230+1,"Норма","Лёгкое отклонение","Заметный разброс","Выброс","Экстремальный выброс"))</f>
        <v>Норма</v>
      </c>
      <c r="AO230">
        <f>IF(OR(AC230="",NOT(ISNUMBER(N230))),0,MAX(N230,0))</f>
        <v>22</v>
      </c>
      <c r="AP230">
        <f>IF(AC230="",0,AC230*AO230)</f>
        <v>-338.95386140691187</v>
      </c>
      <c r="AQ230">
        <f>IF(OR(AC230="",NOT(ISNUMBER(O230))),0,MAX(O230,0)*S230)</f>
        <v>6832.3248410460001</v>
      </c>
      <c r="AR230">
        <f>IF(AC230="",0,AC230*AQ230)</f>
        <v>-105265.58578449576</v>
      </c>
    </row>
    <row r="231" spans="1:44" x14ac:dyDescent="0.25">
      <c r="A231">
        <v>1859648</v>
      </c>
      <c r="B231" t="s">
        <v>20</v>
      </c>
      <c r="C231" t="s">
        <v>493</v>
      </c>
      <c r="D231" t="s">
        <v>744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s="5">
        <v>1405.4864299999999</v>
      </c>
      <c r="K231" t="s">
        <v>27</v>
      </c>
      <c r="L231" s="5">
        <v>4220.3471540099999</v>
      </c>
      <c r="M231" t="s">
        <v>494</v>
      </c>
      <c r="N231" s="12">
        <v>22</v>
      </c>
      <c r="O231">
        <v>6</v>
      </c>
      <c r="P231" t="s">
        <v>204</v>
      </c>
      <c r="Q231" s="5">
        <v>2083</v>
      </c>
      <c r="R231" s="5">
        <v>1925.5164090999999</v>
      </c>
      <c r="S231" s="10">
        <v>3587.2950809085</v>
      </c>
      <c r="T231" s="8">
        <v>0.44158529249675949</v>
      </c>
      <c r="U231" s="5">
        <v>78920.491779987002</v>
      </c>
      <c r="V231" s="5">
        <v>34850.12844665366</v>
      </c>
      <c r="W231" s="5">
        <v>0</v>
      </c>
      <c r="X231" s="5"/>
    </row>
    <row r="232" spans="1:44" x14ac:dyDescent="0.25">
      <c r="A232">
        <v>1714659</v>
      </c>
      <c r="B232" t="s">
        <v>30</v>
      </c>
      <c r="C232" t="s">
        <v>495</v>
      </c>
      <c r="D232" t="s">
        <v>744</v>
      </c>
      <c r="E232" t="s">
        <v>22</v>
      </c>
      <c r="F232" t="s">
        <v>23</v>
      </c>
      <c r="G232" t="s">
        <v>24</v>
      </c>
      <c r="H232" t="s">
        <v>25</v>
      </c>
      <c r="I232" t="s">
        <v>26</v>
      </c>
      <c r="J232" s="5">
        <v>1077.999808</v>
      </c>
      <c r="K232" t="s">
        <v>27</v>
      </c>
      <c r="L232" s="5">
        <v>3462.7519246500001</v>
      </c>
      <c r="M232" t="s">
        <v>496</v>
      </c>
      <c r="N232" s="12">
        <v>21</v>
      </c>
      <c r="O232">
        <v>7</v>
      </c>
      <c r="P232" t="s">
        <v>204</v>
      </c>
      <c r="Q232" s="5">
        <v>1574</v>
      </c>
      <c r="R232" s="5">
        <v>1476.85973696</v>
      </c>
      <c r="S232" s="10">
        <v>2943.3391359524999</v>
      </c>
      <c r="T232" s="8">
        <v>0.48654687860914719</v>
      </c>
      <c r="U232" s="5">
        <v>61810.121855002501</v>
      </c>
      <c r="V232" s="5">
        <v>30073.521855002498</v>
      </c>
      <c r="W232" s="5">
        <v>0</v>
      </c>
      <c r="X232" s="5"/>
    </row>
    <row r="233" spans="1:44" x14ac:dyDescent="0.25">
      <c r="A233">
        <v>1853626</v>
      </c>
      <c r="B233" t="s">
        <v>294</v>
      </c>
      <c r="C233" t="s">
        <v>497</v>
      </c>
      <c r="D233" t="s">
        <v>744</v>
      </c>
      <c r="E233" t="s">
        <v>22</v>
      </c>
      <c r="F233" t="s">
        <v>23</v>
      </c>
      <c r="G233" t="s">
        <v>24</v>
      </c>
      <c r="H233" t="s">
        <v>25</v>
      </c>
      <c r="I233" t="s">
        <v>26</v>
      </c>
      <c r="J233" s="5">
        <v>892.44246400000009</v>
      </c>
      <c r="K233" t="s">
        <v>27</v>
      </c>
      <c r="L233" s="5">
        <v>1746.9822733799999</v>
      </c>
      <c r="M233" t="s">
        <v>498</v>
      </c>
      <c r="N233" s="12">
        <v>20</v>
      </c>
      <c r="O233">
        <v>0</v>
      </c>
      <c r="P233" t="s">
        <v>204</v>
      </c>
      <c r="Q233" s="5">
        <v>0</v>
      </c>
      <c r="R233" s="5">
        <v>1222.6461756799999</v>
      </c>
      <c r="S233" s="10">
        <v>1484.934932373</v>
      </c>
      <c r="T233" s="8">
        <v>0.17663316484436739</v>
      </c>
      <c r="U233" s="5">
        <v>29698.698647460002</v>
      </c>
      <c r="V233" s="5">
        <v>5245.7751338599937</v>
      </c>
      <c r="W233" s="5">
        <v>3059</v>
      </c>
      <c r="X233" s="8">
        <f>1-(S233/W233)</f>
        <v>0.51456850854102654</v>
      </c>
      <c r="AB233">
        <f>A233</f>
        <v>1853626</v>
      </c>
      <c r="AC233">
        <f>IFERROR(IF(OR(NOT(ISNUMBER(S233)),NOT(ISNUMBER(W233))),"",IF(OR(S233&lt;=0,W233&lt;=0),"",(1-S233/W233)*100)),"")</f>
        <v>51.456850854102655</v>
      </c>
      <c r="AD233">
        <f>IF(AC233="","",(MAX(S233,W233)/MIN(S233,W233)-1)*100)</f>
        <v>106.00229230997789</v>
      </c>
      <c r="AE233">
        <f>IF(AC233="","",ABS(W233-S233))</f>
        <v>1574.065067627</v>
      </c>
      <c r="AF233">
        <f>IF(AC233="","",IF(AND(AE233&lt;MAX(Расч!$B$11,S233*Расч!$B$12),IF(AD233&lt;Расч!$B$7,0,IF(AD233&lt;Расч!$B$8,1,IF(AD233&lt;Расч!$B$9,2,IF(AD233&lt;Расч!$B$10,3,4))))&gt;1),1,IF(AD233&lt;Расч!$B$7,0,IF(AD233&lt;Расч!$B$8,1,IF(AD233&lt;Расч!$B$9,2,IF(AD233&lt;Расч!$B$10,3,4))))))</f>
        <v>4</v>
      </c>
      <c r="AK233">
        <f>IF(AC233="","",AC233)</f>
        <v>51.456850854102655</v>
      </c>
      <c r="AL233">
        <f>IF(AE233="","",AE233)</f>
        <v>1574.065067627</v>
      </c>
      <c r="AM233">
        <f>IF(AF233="","",AF233)</f>
        <v>4</v>
      </c>
      <c r="AN233" t="str">
        <f>IF(AM233="","нет данных",CHOOSE(AM233+1,"Норма","Лёгкое отклонение","Заметный разброс","Выброс","Экстремальный выброс"))</f>
        <v>Экстремальный выброс</v>
      </c>
      <c r="AO233">
        <f>IF(OR(AC233="",NOT(ISNUMBER(N233))),0,MAX(N233,0))</f>
        <v>20</v>
      </c>
      <c r="AP233">
        <f>IF(AC233="",0,AC233*AO233)</f>
        <v>1029.137017082053</v>
      </c>
      <c r="AQ233">
        <f>IF(OR(AC233="",NOT(ISNUMBER(O233))),0,MAX(O233,0)*S233)</f>
        <v>0</v>
      </c>
      <c r="AR233">
        <f>IF(AC233="",0,AC233*AQ233)</f>
        <v>0</v>
      </c>
    </row>
    <row r="234" spans="1:44" x14ac:dyDescent="0.25">
      <c r="A234">
        <v>1714657</v>
      </c>
      <c r="B234" t="s">
        <v>20</v>
      </c>
      <c r="C234" t="s">
        <v>499</v>
      </c>
      <c r="D234" t="s">
        <v>805</v>
      </c>
      <c r="E234" t="s">
        <v>22</v>
      </c>
      <c r="F234" t="s">
        <v>23</v>
      </c>
      <c r="G234" t="s">
        <v>24</v>
      </c>
      <c r="H234" t="s">
        <v>25</v>
      </c>
      <c r="I234" t="s">
        <v>26</v>
      </c>
      <c r="J234" s="5">
        <v>1409.352208</v>
      </c>
      <c r="K234" t="s">
        <v>27</v>
      </c>
      <c r="L234" s="5">
        <v>4525.6076255399994</v>
      </c>
      <c r="M234" t="s">
        <v>500</v>
      </c>
      <c r="N234" s="12">
        <v>20</v>
      </c>
      <c r="O234">
        <v>4</v>
      </c>
      <c r="P234" t="s">
        <v>204</v>
      </c>
      <c r="Q234" s="5">
        <v>2058</v>
      </c>
      <c r="R234" s="5">
        <v>1930.81252496</v>
      </c>
      <c r="S234" s="10">
        <v>3846.766481708999</v>
      </c>
      <c r="T234" s="8">
        <v>0.48639201017415429</v>
      </c>
      <c r="U234" s="5">
        <v>76935.329634179987</v>
      </c>
      <c r="V234" s="5">
        <v>37420.729634179988</v>
      </c>
      <c r="W234" s="5">
        <v>0</v>
      </c>
    </row>
    <row r="235" spans="1:44" x14ac:dyDescent="0.25">
      <c r="A235">
        <v>1714642</v>
      </c>
      <c r="B235" t="s">
        <v>20</v>
      </c>
      <c r="C235" t="s">
        <v>501</v>
      </c>
      <c r="D235">
        <v>9685910</v>
      </c>
      <c r="E235" t="s">
        <v>22</v>
      </c>
      <c r="F235" t="s">
        <v>23</v>
      </c>
      <c r="G235" t="s">
        <v>24</v>
      </c>
      <c r="H235" t="s">
        <v>25</v>
      </c>
      <c r="I235" t="s">
        <v>26</v>
      </c>
      <c r="J235" s="5">
        <v>1210.5407680000001</v>
      </c>
      <c r="K235" t="s">
        <v>27</v>
      </c>
      <c r="L235" s="5">
        <v>3774.6384437699999</v>
      </c>
      <c r="M235" t="s">
        <v>502</v>
      </c>
      <c r="N235" s="12">
        <v>18</v>
      </c>
      <c r="O235">
        <v>4</v>
      </c>
      <c r="P235" t="s">
        <v>204</v>
      </c>
      <c r="Q235" s="5">
        <v>1519</v>
      </c>
      <c r="R235" s="5">
        <v>1658.4408521600001</v>
      </c>
      <c r="S235" s="10">
        <v>3208.4426772044999</v>
      </c>
      <c r="T235" s="8">
        <v>0.54742061925657159</v>
      </c>
      <c r="U235" s="5">
        <v>57751.968189681</v>
      </c>
      <c r="V235" s="5">
        <v>31614.618189681001</v>
      </c>
      <c r="W235" s="5">
        <v>0</v>
      </c>
      <c r="X235" s="5"/>
    </row>
    <row r="236" spans="1:44" x14ac:dyDescent="0.25">
      <c r="A236">
        <v>170265</v>
      </c>
      <c r="B236" t="s">
        <v>30</v>
      </c>
      <c r="C236" t="s">
        <v>503</v>
      </c>
      <c r="D236" t="s">
        <v>806</v>
      </c>
      <c r="E236" t="s">
        <v>22</v>
      </c>
      <c r="F236" t="s">
        <v>23</v>
      </c>
      <c r="G236" t="s">
        <v>24</v>
      </c>
      <c r="H236" t="s">
        <v>25</v>
      </c>
      <c r="I236" t="s">
        <v>26</v>
      </c>
      <c r="J236" s="5">
        <v>1354.6790619999999</v>
      </c>
      <c r="K236" t="s">
        <v>27</v>
      </c>
      <c r="L236" s="5">
        <v>4348.7760505799997</v>
      </c>
      <c r="M236" t="s">
        <v>504</v>
      </c>
      <c r="N236" s="12">
        <v>18</v>
      </c>
      <c r="O236">
        <v>3</v>
      </c>
      <c r="P236" t="s">
        <v>204</v>
      </c>
      <c r="Q236" s="5">
        <v>1973</v>
      </c>
      <c r="R236" s="5">
        <v>1855.91031494</v>
      </c>
      <c r="S236" s="10">
        <v>3696.4596429930002</v>
      </c>
      <c r="T236" s="8">
        <v>0.48765300235591219</v>
      </c>
      <c r="U236" s="5">
        <v>66536.273573874001</v>
      </c>
      <c r="V236" s="5">
        <v>32446.613573874001</v>
      </c>
      <c r="W236" s="5">
        <v>0</v>
      </c>
      <c r="X236" s="5"/>
    </row>
    <row r="237" spans="1:44" x14ac:dyDescent="0.25">
      <c r="A237">
        <v>130945</v>
      </c>
      <c r="B237" t="s">
        <v>30</v>
      </c>
      <c r="C237" t="s">
        <v>505</v>
      </c>
      <c r="D237" t="s">
        <v>744</v>
      </c>
      <c r="E237" t="s">
        <v>22</v>
      </c>
      <c r="F237" t="s">
        <v>23</v>
      </c>
      <c r="G237" t="s">
        <v>24</v>
      </c>
      <c r="H237" t="s">
        <v>25</v>
      </c>
      <c r="I237" t="s">
        <v>26</v>
      </c>
      <c r="J237" s="5">
        <v>1519.8030080000001</v>
      </c>
      <c r="K237" t="s">
        <v>27</v>
      </c>
      <c r="L237" s="5">
        <v>4779.5205086400001</v>
      </c>
      <c r="M237" t="s">
        <v>506</v>
      </c>
      <c r="N237" s="12">
        <v>17</v>
      </c>
      <c r="O237">
        <v>0</v>
      </c>
      <c r="P237" t="s">
        <v>204</v>
      </c>
      <c r="Q237" s="5">
        <v>0</v>
      </c>
      <c r="R237" s="5">
        <v>2082.1301209600001</v>
      </c>
      <c r="S237" s="10">
        <v>4062.5924323439999</v>
      </c>
      <c r="T237" s="8">
        <v>0.48748732351705032</v>
      </c>
      <c r="U237" s="5">
        <v>69064.071349848004</v>
      </c>
      <c r="V237" s="5">
        <v>33667.859293528003</v>
      </c>
      <c r="W237" s="5">
        <v>3610.5</v>
      </c>
      <c r="X237" s="8">
        <f>1-(S237/W237)</f>
        <v>-0.12521601782135439</v>
      </c>
      <c r="AB237">
        <f>A237</f>
        <v>130945</v>
      </c>
      <c r="AC237">
        <f>IFERROR(IF(OR(NOT(ISNUMBER(S237)),NOT(ISNUMBER(W237))),"",IF(OR(S237&lt;=0,W237&lt;=0),"",(1-S237/W237)*100)),"")</f>
        <v>-12.521601782135438</v>
      </c>
      <c r="AD237">
        <f>IF(AC237="","",(MAX(S237,W237)/MIN(S237,W237)-1)*100)</f>
        <v>12.521601782135438</v>
      </c>
      <c r="AE237">
        <f>IF(AC237="","",ABS(W237-S237))</f>
        <v>452.09243234399992</v>
      </c>
      <c r="AF237">
        <f>IF(AC237="","",IF(AND(AE237&lt;MAX(Расч!$B$11,S237*Расч!$B$12),IF(AD237&lt;Расч!$B$7,0,IF(AD237&lt;Расч!$B$8,1,IF(AD237&lt;Расч!$B$9,2,IF(AD237&lt;Расч!$B$10,3,4))))&gt;1),1,IF(AD237&lt;Расч!$B$7,0,IF(AD237&lt;Расч!$B$8,1,IF(AD237&lt;Расч!$B$9,2,IF(AD237&lt;Расч!$B$10,3,4))))))</f>
        <v>0</v>
      </c>
      <c r="AK237">
        <f t="shared" ref="AK237:AK239" si="66">IF(AC237="","",AC237)</f>
        <v>-12.521601782135438</v>
      </c>
      <c r="AL237">
        <f t="shared" ref="AL237:AL239" si="67">IF(AE237="","",AE237)</f>
        <v>452.09243234399992</v>
      </c>
      <c r="AM237">
        <f t="shared" ref="AM237:AM239" si="68">IF(AF237="","",AF237)</f>
        <v>0</v>
      </c>
      <c r="AN237" t="str">
        <f t="shared" ref="AN237:AN239" si="69">IF(AM237="","нет данных",CHOOSE(AM237+1,"Норма","Лёгкое отклонение","Заметный разброс","Выброс","Экстремальный выброс"))</f>
        <v>Норма</v>
      </c>
      <c r="AO237">
        <f>IF(OR(AC237="",NOT(ISNUMBER(N237))),0,MAX(N237,0))</f>
        <v>17</v>
      </c>
      <c r="AP237">
        <f t="shared" ref="AP237:AP239" si="70">IF(AC237="",0,AC237*AO237)</f>
        <v>-212.86723029630244</v>
      </c>
      <c r="AQ237">
        <f>IF(OR(AC237="",NOT(ISNUMBER(O237))),0,MAX(O237,0)*S237)</f>
        <v>0</v>
      </c>
      <c r="AR237">
        <f t="shared" ref="AR237:AR239" si="71">IF(AC237="",0,AC237*AQ237)</f>
        <v>0</v>
      </c>
    </row>
    <row r="238" spans="1:44" x14ac:dyDescent="0.25">
      <c r="A238">
        <v>130936</v>
      </c>
      <c r="B238" t="s">
        <v>20</v>
      </c>
      <c r="C238" t="s">
        <v>507</v>
      </c>
      <c r="D238" t="s">
        <v>807</v>
      </c>
      <c r="E238" t="s">
        <v>22</v>
      </c>
      <c r="F238" t="s">
        <v>23</v>
      </c>
      <c r="G238" t="s">
        <v>24</v>
      </c>
      <c r="H238" t="s">
        <v>25</v>
      </c>
      <c r="I238" t="s">
        <v>26</v>
      </c>
      <c r="J238" s="5">
        <v>1335.9024260000001</v>
      </c>
      <c r="K238" t="s">
        <v>27</v>
      </c>
      <c r="L238" s="5">
        <v>4116.3678593999994</v>
      </c>
      <c r="M238" t="s">
        <v>508</v>
      </c>
      <c r="N238" s="12">
        <v>17</v>
      </c>
      <c r="O238">
        <v>1</v>
      </c>
      <c r="P238" t="s">
        <v>204</v>
      </c>
      <c r="Q238" s="5">
        <v>1946</v>
      </c>
      <c r="R238" s="5">
        <v>1830.1863236199999</v>
      </c>
      <c r="S238" s="10">
        <v>3498.9126804899988</v>
      </c>
      <c r="T238" s="8">
        <v>0.46623132082894569</v>
      </c>
      <c r="U238" s="5">
        <v>59481.515568329989</v>
      </c>
      <c r="V238" s="5">
        <v>27732.14556832999</v>
      </c>
      <c r="W238" s="5">
        <v>2615.6</v>
      </c>
      <c r="X238" s="8">
        <f>1-(S238/W238)</f>
        <v>-0.33770939000229361</v>
      </c>
      <c r="AB238">
        <f>A238</f>
        <v>130936</v>
      </c>
      <c r="AC238">
        <f>IFERROR(IF(OR(NOT(ISNUMBER(S238)),NOT(ISNUMBER(W238))),"",IF(OR(S238&lt;=0,W238&lt;=0),"",(1-S238/W238)*100)),"")</f>
        <v>-33.770939000229362</v>
      </c>
      <c r="AD238">
        <f>IF(AC238="","",(MAX(S238,W238)/MIN(S238,W238)-1)*100)</f>
        <v>33.770939000229362</v>
      </c>
      <c r="AE238">
        <f>IF(AC238="","",ABS(W238-S238))</f>
        <v>883.31268048999891</v>
      </c>
      <c r="AF238">
        <f>IF(AC238="","",IF(AND(AE238&lt;MAX(Расч!$B$11,S238*Расч!$B$12),IF(AD238&lt;Расч!$B$7,0,IF(AD238&lt;Расч!$B$8,1,IF(AD238&lt;Расч!$B$9,2,IF(AD238&lt;Расч!$B$10,3,4))))&gt;1),1,IF(AD238&lt;Расч!$B$7,0,IF(AD238&lt;Расч!$B$8,1,IF(AD238&lt;Расч!$B$9,2,IF(AD238&lt;Расч!$B$10,3,4))))))</f>
        <v>1</v>
      </c>
      <c r="AK238">
        <f t="shared" si="66"/>
        <v>-33.770939000229362</v>
      </c>
      <c r="AL238">
        <f t="shared" si="67"/>
        <v>883.31268048999891</v>
      </c>
      <c r="AM238">
        <f t="shared" si="68"/>
        <v>1</v>
      </c>
      <c r="AN238" t="str">
        <f t="shared" si="69"/>
        <v>Лёгкое отклонение</v>
      </c>
      <c r="AO238">
        <f>IF(OR(AC238="",NOT(ISNUMBER(N238))),0,MAX(N238,0))</f>
        <v>17</v>
      </c>
      <c r="AP238">
        <f t="shared" si="70"/>
        <v>-574.10596300389921</v>
      </c>
      <c r="AQ238">
        <f>IF(OR(AC238="",NOT(ISNUMBER(O238))),0,MAX(O238,0)*S238)</f>
        <v>3498.9126804899988</v>
      </c>
      <c r="AR238">
        <f t="shared" si="71"/>
        <v>-118161.56669995676</v>
      </c>
    </row>
    <row r="239" spans="1:44" x14ac:dyDescent="0.25">
      <c r="A239">
        <v>1853630</v>
      </c>
      <c r="B239" t="s">
        <v>294</v>
      </c>
      <c r="C239" t="s">
        <v>509</v>
      </c>
      <c r="D239" t="s">
        <v>744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s="5">
        <v>1616.999712</v>
      </c>
      <c r="K239" t="s">
        <v>27</v>
      </c>
      <c r="L239" s="5">
        <v>3289.1563264199999</v>
      </c>
      <c r="M239" t="s">
        <v>510</v>
      </c>
      <c r="N239" s="12">
        <v>14</v>
      </c>
      <c r="O239">
        <v>0</v>
      </c>
      <c r="P239" t="s">
        <v>204</v>
      </c>
      <c r="Q239" s="5">
        <v>0</v>
      </c>
      <c r="R239" s="5">
        <v>2215.2896054399998</v>
      </c>
      <c r="S239" s="10">
        <v>2795.7828774569998</v>
      </c>
      <c r="T239" s="8">
        <v>0.20763174304329629</v>
      </c>
      <c r="U239" s="5">
        <v>39140.960284398003</v>
      </c>
      <c r="V239" s="5">
        <v>8126.9058082379916</v>
      </c>
      <c r="W239" s="5">
        <v>3495.6</v>
      </c>
      <c r="X239" s="8">
        <f>1-(S239/W239)</f>
        <v>0.20019942857964301</v>
      </c>
      <c r="AB239">
        <f>A239</f>
        <v>1853630</v>
      </c>
      <c r="AC239">
        <f>IFERROR(IF(OR(NOT(ISNUMBER(S239)),NOT(ISNUMBER(W239))),"",IF(OR(S239&lt;=0,W239&lt;=0),"",(1-S239/W239)*100)),"")</f>
        <v>20.019942857964303</v>
      </c>
      <c r="AD239">
        <f>IF(AC239="","",(MAX(S239,W239)/MIN(S239,W239)-1)*100)</f>
        <v>25.031168485427703</v>
      </c>
      <c r="AE239">
        <f>IF(AC239="","",ABS(W239-S239))</f>
        <v>699.8171225430001</v>
      </c>
      <c r="AF239">
        <f>IF(AC239="","",IF(AND(AE239&lt;MAX(Расч!$B$11,S239*Расч!$B$12),IF(AD239&lt;Расч!$B$7,0,IF(AD239&lt;Расч!$B$8,1,IF(AD239&lt;Расч!$B$9,2,IF(AD239&lt;Расч!$B$10,3,4))))&gt;1),1,IF(AD239&lt;Расч!$B$7,0,IF(AD239&lt;Расч!$B$8,1,IF(AD239&lt;Расч!$B$9,2,IF(AD239&lt;Расч!$B$10,3,4))))))</f>
        <v>0</v>
      </c>
      <c r="AK239">
        <f t="shared" si="66"/>
        <v>20.019942857964303</v>
      </c>
      <c r="AL239">
        <f t="shared" si="67"/>
        <v>699.8171225430001</v>
      </c>
      <c r="AM239">
        <f t="shared" si="68"/>
        <v>0</v>
      </c>
      <c r="AN239" t="str">
        <f t="shared" si="69"/>
        <v>Норма</v>
      </c>
      <c r="AO239">
        <f>IF(OR(AC239="",NOT(ISNUMBER(N239))),0,MAX(N239,0))</f>
        <v>14</v>
      </c>
      <c r="AP239">
        <f t="shared" si="70"/>
        <v>280.27920001150022</v>
      </c>
      <c r="AQ239">
        <f>IF(OR(AC239="",NOT(ISNUMBER(O239))),0,MAX(O239,0)*S239)</f>
        <v>0</v>
      </c>
      <c r="AR239">
        <f t="shared" si="71"/>
        <v>0</v>
      </c>
    </row>
    <row r="240" spans="1:44" x14ac:dyDescent="0.25">
      <c r="A240">
        <v>1853602</v>
      </c>
      <c r="B240" t="s">
        <v>294</v>
      </c>
      <c r="C240" t="s">
        <v>511</v>
      </c>
      <c r="D240" t="s">
        <v>744</v>
      </c>
      <c r="E240" t="s">
        <v>22</v>
      </c>
      <c r="F240" t="s">
        <v>23</v>
      </c>
      <c r="G240" t="s">
        <v>24</v>
      </c>
      <c r="H240" t="s">
        <v>25</v>
      </c>
      <c r="I240" t="s">
        <v>26</v>
      </c>
      <c r="J240" s="5">
        <v>1204.465974</v>
      </c>
      <c r="K240" t="s">
        <v>27</v>
      </c>
      <c r="L240" s="5">
        <v>2878.3071326999998</v>
      </c>
      <c r="M240" t="s">
        <v>512</v>
      </c>
      <c r="N240" s="12">
        <v>14</v>
      </c>
      <c r="O240">
        <v>0</v>
      </c>
      <c r="P240" t="s">
        <v>204</v>
      </c>
      <c r="Q240" s="5">
        <v>0</v>
      </c>
      <c r="R240" s="5">
        <v>1650.11838438</v>
      </c>
      <c r="S240" s="10">
        <v>2446.561062795</v>
      </c>
      <c r="T240" s="8">
        <v>0.32553558156653062</v>
      </c>
      <c r="U240" s="5">
        <v>34251.854879129991</v>
      </c>
      <c r="V240" s="5">
        <v>11150.19749780999</v>
      </c>
      <c r="W240" s="5">
        <v>0</v>
      </c>
    </row>
    <row r="241" spans="1:44" x14ac:dyDescent="0.25">
      <c r="A241">
        <v>1859655</v>
      </c>
      <c r="B241" t="s">
        <v>30</v>
      </c>
      <c r="C241" t="s">
        <v>513</v>
      </c>
      <c r="D241" t="s">
        <v>744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s="5">
        <v>1672.2251120000001</v>
      </c>
      <c r="K241" t="s">
        <v>27</v>
      </c>
      <c r="L241" s="5">
        <v>4707.4729420799986</v>
      </c>
      <c r="M241" t="s">
        <v>514</v>
      </c>
      <c r="N241" s="12">
        <v>12</v>
      </c>
      <c r="O241">
        <v>0</v>
      </c>
      <c r="P241" t="s">
        <v>204</v>
      </c>
      <c r="Q241" s="5">
        <v>0</v>
      </c>
      <c r="R241" s="5">
        <v>2290.9484034400002</v>
      </c>
      <c r="S241" s="10">
        <v>4001.352000767999</v>
      </c>
      <c r="T241" s="8">
        <v>0.41472157422028688</v>
      </c>
      <c r="U241" s="5">
        <v>48016.224009215992</v>
      </c>
      <c r="V241" s="5">
        <v>19913.364009215991</v>
      </c>
      <c r="W241" s="5">
        <v>3648.3</v>
      </c>
      <c r="X241" s="8">
        <f>1-(S241/W241)</f>
        <v>-9.6771647279006334E-2</v>
      </c>
      <c r="AB241">
        <f>A241</f>
        <v>1859655</v>
      </c>
      <c r="AC241">
        <f>IFERROR(IF(OR(NOT(ISNUMBER(S241)),NOT(ISNUMBER(W241))),"",IF(OR(S241&lt;=0,W241&lt;=0),"",(1-S241/W241)*100)),"")</f>
        <v>-9.6771647279006334</v>
      </c>
      <c r="AD241">
        <f>IF(AC241="","",(MAX(S241,W241)/MIN(S241,W241)-1)*100)</f>
        <v>9.6771647279006334</v>
      </c>
      <c r="AE241">
        <f>IF(AC241="","",ABS(W241-S241))</f>
        <v>353.05200076799883</v>
      </c>
      <c r="AF241">
        <f>IF(AC241="","",IF(AND(AE241&lt;MAX(Расч!$B$11,S241*Расч!$B$12),IF(AD241&lt;Расч!$B$7,0,IF(AD241&lt;Расч!$B$8,1,IF(AD241&lt;Расч!$B$9,2,IF(AD241&lt;Расч!$B$10,3,4))))&gt;1),1,IF(AD241&lt;Расч!$B$7,0,IF(AD241&lt;Расч!$B$8,1,IF(AD241&lt;Расч!$B$9,2,IF(AD241&lt;Расч!$B$10,3,4))))))</f>
        <v>0</v>
      </c>
      <c r="AK241">
        <f>IF(AC241="","",AC241)</f>
        <v>-9.6771647279006334</v>
      </c>
      <c r="AL241">
        <f>IF(AE241="","",AE241)</f>
        <v>353.05200076799883</v>
      </c>
      <c r="AM241">
        <f>IF(AF241="","",AF241)</f>
        <v>0</v>
      </c>
      <c r="AN241" t="str">
        <f>IF(AM241="","нет данных",CHOOSE(AM241+1,"Норма","Лёгкое отклонение","Заметный разброс","Выброс","Экстремальный выброс"))</f>
        <v>Норма</v>
      </c>
      <c r="AO241">
        <f>IF(OR(AC241="",NOT(ISNUMBER(N241))),0,MAX(N241,0))</f>
        <v>12</v>
      </c>
      <c r="AP241">
        <f>IF(AC241="",0,AC241*AO241)</f>
        <v>-116.12597673480761</v>
      </c>
      <c r="AQ241">
        <f>IF(OR(AC241="",NOT(ISNUMBER(O241))),0,MAX(O241,0)*S241)</f>
        <v>0</v>
      </c>
      <c r="AR241">
        <f>IF(AC241="",0,AC241*AQ241)</f>
        <v>0</v>
      </c>
    </row>
    <row r="242" spans="1:44" x14ac:dyDescent="0.25">
      <c r="A242">
        <v>1853600</v>
      </c>
      <c r="B242" t="s">
        <v>252</v>
      </c>
      <c r="C242" t="s">
        <v>515</v>
      </c>
      <c r="D242" t="s">
        <v>744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s="5">
        <v>1799.7957859999999</v>
      </c>
      <c r="K242" t="s">
        <v>27</v>
      </c>
      <c r="L242" s="5">
        <v>3726.1330359600001</v>
      </c>
      <c r="M242" t="s">
        <v>516</v>
      </c>
      <c r="N242" s="12">
        <v>10</v>
      </c>
      <c r="O242">
        <v>0</v>
      </c>
      <c r="P242" t="s">
        <v>204</v>
      </c>
      <c r="Q242" s="5">
        <v>0</v>
      </c>
      <c r="R242" s="5">
        <v>2465.7202268199999</v>
      </c>
      <c r="S242" s="10">
        <v>3167.2130805659999</v>
      </c>
      <c r="T242" s="8">
        <v>0.22148584130646451</v>
      </c>
      <c r="U242" s="5">
        <v>31672.130805659999</v>
      </c>
      <c r="V242" s="5">
        <v>7014.9285374599976</v>
      </c>
      <c r="W242" s="5">
        <v>0</v>
      </c>
    </row>
    <row r="243" spans="1:44" x14ac:dyDescent="0.25">
      <c r="A243">
        <v>1714654</v>
      </c>
      <c r="B243" t="s">
        <v>30</v>
      </c>
      <c r="C243" t="s">
        <v>517</v>
      </c>
      <c r="D243">
        <v>8997520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s="5">
        <v>1143.718034</v>
      </c>
      <c r="K243" t="s">
        <v>27</v>
      </c>
      <c r="L243" s="5">
        <v>3566.3031800099998</v>
      </c>
      <c r="M243" t="s">
        <v>518</v>
      </c>
      <c r="N243" s="12">
        <v>8</v>
      </c>
      <c r="O243">
        <v>0</v>
      </c>
      <c r="P243" t="s">
        <v>204</v>
      </c>
      <c r="Q243" s="5">
        <v>0</v>
      </c>
      <c r="R243" s="5">
        <v>1566.8937065800001</v>
      </c>
      <c r="S243" s="10">
        <v>3031.3577030084998</v>
      </c>
      <c r="T243" s="8">
        <v>0.48310497800212698</v>
      </c>
      <c r="U243" s="5">
        <v>24250.861624067998</v>
      </c>
      <c r="V243" s="5">
        <v>11715.711971428</v>
      </c>
      <c r="W243" s="5">
        <v>0</v>
      </c>
    </row>
    <row r="244" spans="1:44" x14ac:dyDescent="0.25">
      <c r="A244">
        <v>1853597</v>
      </c>
      <c r="B244" t="s">
        <v>252</v>
      </c>
      <c r="C244" t="s">
        <v>519</v>
      </c>
      <c r="D244" t="s">
        <v>744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s="5">
        <v>1766.6605460000001</v>
      </c>
      <c r="K244" t="s">
        <v>27</v>
      </c>
      <c r="L244" s="5">
        <v>3492.76603686</v>
      </c>
      <c r="M244" t="s">
        <v>520</v>
      </c>
      <c r="N244" s="12">
        <v>8</v>
      </c>
      <c r="O244">
        <v>0</v>
      </c>
      <c r="P244" t="s">
        <v>204</v>
      </c>
      <c r="Q244" s="5">
        <v>0</v>
      </c>
      <c r="R244" s="5">
        <v>2420.3249480200002</v>
      </c>
      <c r="S244" s="10">
        <v>2968.851131331</v>
      </c>
      <c r="T244" s="8">
        <v>0.18476042046105681</v>
      </c>
      <c r="U244" s="5">
        <v>23750.809050648</v>
      </c>
      <c r="V244" s="5">
        <v>4388.2094664879978</v>
      </c>
      <c r="W244" s="5">
        <v>0</v>
      </c>
    </row>
    <row r="245" spans="1:44" x14ac:dyDescent="0.25">
      <c r="A245">
        <v>1714635</v>
      </c>
      <c r="B245" t="s">
        <v>20</v>
      </c>
      <c r="C245" t="s">
        <v>521</v>
      </c>
      <c r="D245" t="s">
        <v>744</v>
      </c>
      <c r="E245" t="s">
        <v>22</v>
      </c>
      <c r="F245" t="s">
        <v>23</v>
      </c>
      <c r="G245" t="s">
        <v>24</v>
      </c>
      <c r="H245" t="s">
        <v>25</v>
      </c>
      <c r="I245" t="s">
        <v>26</v>
      </c>
      <c r="J245" s="5">
        <v>1496.60834</v>
      </c>
      <c r="K245" t="s">
        <v>27</v>
      </c>
      <c r="L245" s="5">
        <v>4803.71328705</v>
      </c>
      <c r="M245" t="s">
        <v>522</v>
      </c>
      <c r="N245" s="12">
        <v>6</v>
      </c>
      <c r="O245">
        <v>0</v>
      </c>
      <c r="P245" t="s">
        <v>204</v>
      </c>
      <c r="Q245" s="5">
        <v>0</v>
      </c>
      <c r="R245" s="5">
        <v>2050.3534258</v>
      </c>
      <c r="S245" s="10">
        <v>4083.1562939925002</v>
      </c>
      <c r="T245" s="8">
        <v>0.49785085895030251</v>
      </c>
      <c r="U245" s="5">
        <v>24498.937763955</v>
      </c>
      <c r="V245" s="5">
        <v>12196.817209155</v>
      </c>
      <c r="W245" s="5">
        <v>0</v>
      </c>
      <c r="X245" s="5"/>
    </row>
    <row r="246" spans="1:44" x14ac:dyDescent="0.25">
      <c r="A246">
        <v>1853628</v>
      </c>
      <c r="B246" t="s">
        <v>294</v>
      </c>
      <c r="C246" t="s">
        <v>523</v>
      </c>
      <c r="D246" t="s">
        <v>744</v>
      </c>
      <c r="E246" t="s">
        <v>22</v>
      </c>
      <c r="F246" t="s">
        <v>23</v>
      </c>
      <c r="G246" t="s">
        <v>24</v>
      </c>
      <c r="H246" t="s">
        <v>25</v>
      </c>
      <c r="I246" t="s">
        <v>26</v>
      </c>
      <c r="J246" s="5">
        <v>1171.3307339999999</v>
      </c>
      <c r="K246" t="s">
        <v>27</v>
      </c>
      <c r="L246" s="5">
        <v>2349.4047138300002</v>
      </c>
      <c r="M246" t="s">
        <v>524</v>
      </c>
      <c r="N246" s="12">
        <v>6</v>
      </c>
      <c r="O246">
        <v>0</v>
      </c>
      <c r="P246" t="s">
        <v>204</v>
      </c>
      <c r="Q246" s="5">
        <v>0</v>
      </c>
      <c r="R246" s="5">
        <v>1604.72310558</v>
      </c>
      <c r="S246" s="10">
        <v>1996.9940067555001</v>
      </c>
      <c r="T246" s="8">
        <v>0.1964306852441782</v>
      </c>
      <c r="U246" s="5">
        <v>11981.964040532999</v>
      </c>
      <c r="V246" s="5">
        <v>2353.625407052999</v>
      </c>
      <c r="W246" s="5">
        <v>0</v>
      </c>
    </row>
    <row r="247" spans="1:44" x14ac:dyDescent="0.25">
      <c r="A247">
        <v>163769</v>
      </c>
      <c r="B247" t="s">
        <v>30</v>
      </c>
      <c r="C247" t="s">
        <v>525</v>
      </c>
      <c r="D247" t="s">
        <v>744</v>
      </c>
      <c r="E247" t="s">
        <v>22</v>
      </c>
      <c r="F247" t="s">
        <v>23</v>
      </c>
      <c r="G247" t="s">
        <v>24</v>
      </c>
      <c r="H247" t="s">
        <v>25</v>
      </c>
      <c r="I247" t="s">
        <v>26</v>
      </c>
      <c r="J247" s="5">
        <v>1202.8092119999999</v>
      </c>
      <c r="K247" t="s">
        <v>27</v>
      </c>
      <c r="L247" s="5">
        <v>3748.10001027</v>
      </c>
      <c r="M247" t="s">
        <v>526</v>
      </c>
      <c r="N247" s="12">
        <v>4</v>
      </c>
      <c r="O247">
        <v>5</v>
      </c>
      <c r="P247" t="s">
        <v>204</v>
      </c>
      <c r="Q247" s="5">
        <v>1676</v>
      </c>
      <c r="R247" s="5">
        <v>1647.8486204400001</v>
      </c>
      <c r="S247" s="10">
        <v>3185.8850087295</v>
      </c>
      <c r="T247" s="8">
        <v>0.50286341294169556</v>
      </c>
      <c r="U247" s="5">
        <v>12743.540034918</v>
      </c>
      <c r="V247" s="5">
        <v>6408.2600349179993</v>
      </c>
      <c r="W247" s="5">
        <v>0</v>
      </c>
      <c r="X247" s="5"/>
    </row>
    <row r="248" spans="1:44" x14ac:dyDescent="0.25">
      <c r="A248">
        <v>163786</v>
      </c>
      <c r="B248" t="s">
        <v>20</v>
      </c>
      <c r="C248" t="s">
        <v>527</v>
      </c>
      <c r="D248">
        <v>9913111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s="5">
        <v>1553.4905020000001</v>
      </c>
      <c r="K248" t="s">
        <v>27</v>
      </c>
      <c r="L248" s="5">
        <v>4986.4860467999997</v>
      </c>
      <c r="M248" t="s">
        <v>528</v>
      </c>
      <c r="N248" s="12">
        <v>1</v>
      </c>
      <c r="O248">
        <v>0</v>
      </c>
      <c r="P248" t="s">
        <v>204</v>
      </c>
      <c r="Q248" s="5">
        <v>0</v>
      </c>
      <c r="R248" s="5">
        <v>2128.2819877400002</v>
      </c>
      <c r="S248" s="10">
        <v>4238.5131397799996</v>
      </c>
      <c r="T248" s="8">
        <v>0.49787061699413088</v>
      </c>
      <c r="U248" s="5">
        <v>4238.5131397799996</v>
      </c>
      <c r="V248" s="5">
        <v>2110.231152039999</v>
      </c>
      <c r="W248" s="5">
        <v>0</v>
      </c>
      <c r="X248" s="5"/>
    </row>
    <row r="249" spans="1:44" x14ac:dyDescent="0.25">
      <c r="A249">
        <v>1875941</v>
      </c>
      <c r="B249" t="s">
        <v>20</v>
      </c>
      <c r="C249" t="s">
        <v>529</v>
      </c>
      <c r="D249" t="s">
        <v>744</v>
      </c>
      <c r="E249" t="s">
        <v>22</v>
      </c>
      <c r="F249" t="s">
        <v>23</v>
      </c>
      <c r="G249" t="s">
        <v>24</v>
      </c>
      <c r="H249" t="s">
        <v>25</v>
      </c>
      <c r="I249" t="s">
        <v>26</v>
      </c>
      <c r="J249" s="5">
        <v>2508.3376680000001</v>
      </c>
      <c r="K249" t="s">
        <v>27</v>
      </c>
      <c r="L249" s="5">
        <v>6686.8291634999996</v>
      </c>
      <c r="M249" t="s">
        <v>530</v>
      </c>
      <c r="N249" s="12">
        <v>0</v>
      </c>
      <c r="O249">
        <v>0</v>
      </c>
      <c r="P249" t="s">
        <v>204</v>
      </c>
      <c r="Q249" s="5">
        <v>0</v>
      </c>
      <c r="R249" s="5">
        <v>3436.4226051599999</v>
      </c>
      <c r="S249" s="10">
        <v>5683.8047889749996</v>
      </c>
      <c r="T249" s="8">
        <v>0.39540101520979321</v>
      </c>
      <c r="U249" s="5">
        <v>0</v>
      </c>
      <c r="V249" s="5">
        <v>0</v>
      </c>
      <c r="W249" s="5">
        <v>0</v>
      </c>
      <c r="X249" s="5"/>
    </row>
    <row r="250" spans="1:44" x14ac:dyDescent="0.25">
      <c r="A250">
        <v>1875940</v>
      </c>
      <c r="B250" t="s">
        <v>30</v>
      </c>
      <c r="C250" t="s">
        <v>531</v>
      </c>
      <c r="D250" t="s">
        <v>744</v>
      </c>
      <c r="E250" t="s">
        <v>22</v>
      </c>
      <c r="F250" t="s">
        <v>23</v>
      </c>
      <c r="G250" t="s">
        <v>24</v>
      </c>
      <c r="H250" t="s">
        <v>25</v>
      </c>
      <c r="I250" t="s">
        <v>26</v>
      </c>
      <c r="J250" s="5">
        <v>1048.7303460000001</v>
      </c>
      <c r="K250" t="s">
        <v>27</v>
      </c>
      <c r="L250" s="5">
        <v>2795.7469221599999</v>
      </c>
      <c r="M250" t="s">
        <v>532</v>
      </c>
      <c r="N250" s="12">
        <v>0</v>
      </c>
      <c r="O250">
        <v>0</v>
      </c>
      <c r="P250" t="s">
        <v>204</v>
      </c>
      <c r="Q250" s="5">
        <v>0</v>
      </c>
      <c r="R250" s="5">
        <v>1436.7605740199999</v>
      </c>
      <c r="S250" s="10">
        <v>2376.384883836</v>
      </c>
      <c r="T250" s="8">
        <v>0.3954007266277686</v>
      </c>
      <c r="U250" s="5">
        <v>0</v>
      </c>
      <c r="V250" s="5">
        <v>0</v>
      </c>
      <c r="W250" s="5">
        <v>0</v>
      </c>
      <c r="X250" s="5"/>
    </row>
    <row r="251" spans="1:44" x14ac:dyDescent="0.25">
      <c r="A251">
        <v>1714644</v>
      </c>
      <c r="B251" t="s">
        <v>20</v>
      </c>
      <c r="C251" t="s">
        <v>533</v>
      </c>
      <c r="D251" t="s">
        <v>744</v>
      </c>
      <c r="E251" t="s">
        <v>22</v>
      </c>
      <c r="F251" t="s">
        <v>23</v>
      </c>
      <c r="G251" t="s">
        <v>24</v>
      </c>
      <c r="H251" t="s">
        <v>25</v>
      </c>
      <c r="I251" t="s">
        <v>26</v>
      </c>
      <c r="J251" s="5">
        <v>1460.71183</v>
      </c>
      <c r="K251" t="s">
        <v>27</v>
      </c>
      <c r="L251" s="5">
        <v>4690.4883446399999</v>
      </c>
      <c r="M251" t="s">
        <v>534</v>
      </c>
      <c r="N251" s="12">
        <v>0</v>
      </c>
      <c r="O251">
        <v>0</v>
      </c>
      <c r="P251" t="s">
        <v>204</v>
      </c>
      <c r="Q251" s="5">
        <v>0</v>
      </c>
      <c r="R251" s="5">
        <v>2001.1752071000001</v>
      </c>
      <c r="S251" s="10">
        <v>3986.9150929440002</v>
      </c>
      <c r="T251" s="8">
        <v>0.49806425257421238</v>
      </c>
      <c r="U251" s="5">
        <v>0</v>
      </c>
      <c r="V251" s="5">
        <v>0</v>
      </c>
      <c r="W251" s="5">
        <v>0</v>
      </c>
      <c r="X251" s="5"/>
    </row>
    <row r="252" spans="1:44" x14ac:dyDescent="0.25">
      <c r="A252">
        <v>1714641</v>
      </c>
      <c r="B252" t="s">
        <v>20</v>
      </c>
      <c r="C252" t="s">
        <v>535</v>
      </c>
      <c r="D252" t="s">
        <v>744</v>
      </c>
      <c r="E252" t="s">
        <v>22</v>
      </c>
      <c r="F252" t="s">
        <v>23</v>
      </c>
      <c r="G252" t="s">
        <v>24</v>
      </c>
      <c r="H252" t="s">
        <v>25</v>
      </c>
      <c r="I252" t="s">
        <v>26</v>
      </c>
      <c r="J252" s="5">
        <v>1364.6196339999999</v>
      </c>
      <c r="K252" t="s">
        <v>27</v>
      </c>
      <c r="L252" s="5">
        <v>4380.5536844999997</v>
      </c>
      <c r="M252" t="s">
        <v>536</v>
      </c>
      <c r="N252" s="12">
        <v>0</v>
      </c>
      <c r="O252">
        <v>0</v>
      </c>
      <c r="P252" t="s">
        <v>204</v>
      </c>
      <c r="Q252" s="5">
        <v>0</v>
      </c>
      <c r="R252" s="5">
        <v>1869.52889858</v>
      </c>
      <c r="S252" s="10">
        <v>3723.4706318250001</v>
      </c>
      <c r="T252" s="8">
        <v>0.49790690368257839</v>
      </c>
      <c r="U252" s="5">
        <v>0</v>
      </c>
      <c r="V252" s="5">
        <v>0</v>
      </c>
      <c r="W252" s="5">
        <v>0</v>
      </c>
      <c r="X252" s="5"/>
    </row>
    <row r="253" spans="1:44" x14ac:dyDescent="0.25">
      <c r="A253">
        <v>1714647</v>
      </c>
      <c r="B253" t="s">
        <v>20</v>
      </c>
      <c r="C253" t="s">
        <v>537</v>
      </c>
      <c r="D253" t="s">
        <v>744</v>
      </c>
      <c r="E253" t="s">
        <v>22</v>
      </c>
      <c r="F253" t="s">
        <v>23</v>
      </c>
      <c r="G253" t="s">
        <v>24</v>
      </c>
      <c r="H253" t="s">
        <v>25</v>
      </c>
      <c r="I253" t="s">
        <v>26</v>
      </c>
      <c r="J253" s="5">
        <v>1610.9249179999999</v>
      </c>
      <c r="K253" t="s">
        <v>27</v>
      </c>
      <c r="L253" s="5">
        <v>5171.2620302400001</v>
      </c>
      <c r="M253" t="s">
        <v>538</v>
      </c>
      <c r="N253" s="12">
        <v>0</v>
      </c>
      <c r="O253">
        <v>0</v>
      </c>
      <c r="P253" t="s">
        <v>204</v>
      </c>
      <c r="Q253" s="5">
        <v>0</v>
      </c>
      <c r="R253" s="5">
        <v>2206.9671376599999</v>
      </c>
      <c r="S253" s="10">
        <v>4395.5727257039998</v>
      </c>
      <c r="T253" s="8">
        <v>0.49791135868272318</v>
      </c>
      <c r="U253" s="5">
        <v>0</v>
      </c>
      <c r="V253" s="5">
        <v>0</v>
      </c>
      <c r="W253" s="5">
        <v>3926.6</v>
      </c>
      <c r="X253" s="8">
        <f>1-(S253/W253)</f>
        <v>-0.11943481019304225</v>
      </c>
      <c r="AB253">
        <f>A253</f>
        <v>1714647</v>
      </c>
      <c r="AC253">
        <f>IFERROR(IF(OR(NOT(ISNUMBER(S253)),NOT(ISNUMBER(W253))),"",IF(OR(S253&lt;=0,W253&lt;=0),"",(1-S253/W253)*100)),"")</f>
        <v>-11.943481019304226</v>
      </c>
      <c r="AD253">
        <f>IF(AC253="","",(MAX(S253,W253)/MIN(S253,W253)-1)*100)</f>
        <v>11.943481019304226</v>
      </c>
      <c r="AE253">
        <f>IF(AC253="","",ABS(W253-S253))</f>
        <v>468.97272570399991</v>
      </c>
      <c r="AF253">
        <f>IF(AC253="","",IF(AND(AE253&lt;MAX(Расч!$B$11,S253*Расч!$B$12),IF(AD253&lt;Расч!$B$7,0,IF(AD253&lt;Расч!$B$8,1,IF(AD253&lt;Расч!$B$9,2,IF(AD253&lt;Расч!$B$10,3,4))))&gt;1),1,IF(AD253&lt;Расч!$B$7,0,IF(AD253&lt;Расч!$B$8,1,IF(AD253&lt;Расч!$B$9,2,IF(AD253&lt;Расч!$B$10,3,4))))))</f>
        <v>0</v>
      </c>
      <c r="AK253">
        <f>IF(AC253="","",AC253)</f>
        <v>-11.943481019304226</v>
      </c>
      <c r="AL253">
        <f>IF(AE253="","",AE253)</f>
        <v>468.97272570399991</v>
      </c>
      <c r="AM253">
        <f>IF(AF253="","",AF253)</f>
        <v>0</v>
      </c>
      <c r="AN253" t="str">
        <f>IF(AM253="","нет данных",CHOOSE(AM253+1,"Норма","Лёгкое отклонение","Заметный разброс","Выброс","Экстремальный выброс"))</f>
        <v>Норма</v>
      </c>
      <c r="AO253">
        <f>IF(OR(AC253="",NOT(ISNUMBER(N253))),0,MAX(N253,0))</f>
        <v>0</v>
      </c>
      <c r="AP253">
        <f>IF(AC253="",0,AC253*AO253)</f>
        <v>0</v>
      </c>
      <c r="AQ253">
        <f>IF(OR(AC253="",NOT(ISNUMBER(O253))),0,MAX(O253,0)*S253)</f>
        <v>0</v>
      </c>
      <c r="AR253">
        <f>IF(AC253="",0,AC253*AQ253)</f>
        <v>0</v>
      </c>
    </row>
    <row r="254" spans="1:44" x14ac:dyDescent="0.25">
      <c r="A254">
        <v>1714645</v>
      </c>
      <c r="B254" t="s">
        <v>20</v>
      </c>
      <c r="C254" t="s">
        <v>539</v>
      </c>
      <c r="D254" t="s">
        <v>744</v>
      </c>
      <c r="E254" t="s">
        <v>22</v>
      </c>
      <c r="F254" t="s">
        <v>23</v>
      </c>
      <c r="G254" t="s">
        <v>24</v>
      </c>
      <c r="H254" t="s">
        <v>25</v>
      </c>
      <c r="I254" t="s">
        <v>26</v>
      </c>
      <c r="J254" s="5">
        <v>1143.718034</v>
      </c>
      <c r="K254" t="s">
        <v>27</v>
      </c>
      <c r="L254" s="5">
        <v>3673.29587094</v>
      </c>
      <c r="M254" t="s">
        <v>540</v>
      </c>
      <c r="N254" s="12">
        <v>0</v>
      </c>
      <c r="O254">
        <v>0</v>
      </c>
      <c r="P254" t="s">
        <v>204</v>
      </c>
      <c r="Q254" s="5">
        <v>0</v>
      </c>
      <c r="R254" s="5">
        <v>1566.8937065800001</v>
      </c>
      <c r="S254" s="10">
        <v>3122.3014902989999</v>
      </c>
      <c r="T254" s="8">
        <v>0.49816066403313602</v>
      </c>
      <c r="U254" s="5">
        <v>0</v>
      </c>
      <c r="V254" s="5">
        <v>0</v>
      </c>
      <c r="W254" s="5">
        <v>0</v>
      </c>
      <c r="X254" s="5"/>
    </row>
    <row r="255" spans="1:44" x14ac:dyDescent="0.25">
      <c r="A255">
        <v>1714658</v>
      </c>
      <c r="B255" t="s">
        <v>30</v>
      </c>
      <c r="C255" t="s">
        <v>541</v>
      </c>
      <c r="D255" t="s">
        <v>744</v>
      </c>
      <c r="E255" t="s">
        <v>22</v>
      </c>
      <c r="F255" t="s">
        <v>23</v>
      </c>
      <c r="G255" t="s">
        <v>24</v>
      </c>
      <c r="H255" t="s">
        <v>25</v>
      </c>
      <c r="I255" t="s">
        <v>26</v>
      </c>
      <c r="J255" s="5">
        <v>1353.0223000000001</v>
      </c>
      <c r="K255" t="s">
        <v>27</v>
      </c>
      <c r="L255" s="5">
        <v>4342.8177442199994</v>
      </c>
      <c r="M255" t="s">
        <v>542</v>
      </c>
      <c r="N255" s="12">
        <v>0</v>
      </c>
      <c r="O255">
        <v>0</v>
      </c>
      <c r="P255" t="s">
        <v>204</v>
      </c>
      <c r="Q255" s="5">
        <v>0</v>
      </c>
      <c r="R255" s="5">
        <v>1853.640551</v>
      </c>
      <c r="S255" s="10">
        <v>3691.3950825869988</v>
      </c>
      <c r="T255" s="8">
        <v>0.49784823636354469</v>
      </c>
      <c r="U255" s="5">
        <v>0</v>
      </c>
      <c r="V255" s="5">
        <v>0</v>
      </c>
      <c r="W255" s="5">
        <v>0</v>
      </c>
      <c r="X255" s="5"/>
    </row>
    <row r="256" spans="1:44" x14ac:dyDescent="0.25">
      <c r="A256">
        <v>1714650</v>
      </c>
      <c r="B256" t="s">
        <v>20</v>
      </c>
      <c r="C256" t="s">
        <v>543</v>
      </c>
      <c r="D256" t="s">
        <v>744</v>
      </c>
      <c r="E256" t="s">
        <v>22</v>
      </c>
      <c r="F256" t="s">
        <v>23</v>
      </c>
      <c r="G256" t="s">
        <v>24</v>
      </c>
      <c r="H256" t="s">
        <v>25</v>
      </c>
      <c r="I256" t="s">
        <v>26</v>
      </c>
      <c r="J256" s="5">
        <v>1856.1256940000001</v>
      </c>
      <c r="K256" t="s">
        <v>27</v>
      </c>
      <c r="L256" s="5">
        <v>5959.9329091499994</v>
      </c>
      <c r="M256" t="s">
        <v>544</v>
      </c>
      <c r="N256" s="12">
        <v>0</v>
      </c>
      <c r="O256">
        <v>0</v>
      </c>
      <c r="P256" t="s">
        <v>204</v>
      </c>
      <c r="Q256" s="5">
        <v>0</v>
      </c>
      <c r="R256" s="5">
        <v>2542.8922007800002</v>
      </c>
      <c r="S256" s="10">
        <v>5065.9429727774996</v>
      </c>
      <c r="T256" s="8">
        <v>0.49804168455022868</v>
      </c>
      <c r="U256" s="5">
        <v>0</v>
      </c>
      <c r="V256" s="5">
        <v>0</v>
      </c>
      <c r="W256" s="5">
        <v>0</v>
      </c>
      <c r="X256" s="5"/>
    </row>
    <row r="257" spans="1:44" x14ac:dyDescent="0.25">
      <c r="A257">
        <v>1863721</v>
      </c>
      <c r="B257" t="s">
        <v>20</v>
      </c>
      <c r="C257" t="s">
        <v>545</v>
      </c>
      <c r="D257" t="s">
        <v>744</v>
      </c>
      <c r="E257" t="s">
        <v>22</v>
      </c>
      <c r="F257" t="s">
        <v>23</v>
      </c>
      <c r="G257" t="s">
        <v>24</v>
      </c>
      <c r="H257" t="s">
        <v>25</v>
      </c>
      <c r="I257" t="s">
        <v>26</v>
      </c>
      <c r="J257" s="5">
        <v>1228.7651499999999</v>
      </c>
      <c r="K257" t="s">
        <v>27</v>
      </c>
      <c r="L257" s="5">
        <v>2834.9895606</v>
      </c>
      <c r="M257" t="s">
        <v>546</v>
      </c>
      <c r="N257" s="12">
        <v>0</v>
      </c>
      <c r="O257">
        <v>0</v>
      </c>
      <c r="P257" t="s">
        <v>204</v>
      </c>
      <c r="Q257" s="5">
        <v>0</v>
      </c>
      <c r="R257" s="5">
        <v>1683.4082555</v>
      </c>
      <c r="S257" s="10">
        <v>2409.74112651</v>
      </c>
      <c r="T257" s="8">
        <v>0.30141531097240282</v>
      </c>
      <c r="U257" s="5">
        <v>0</v>
      </c>
      <c r="V257" s="5">
        <v>0</v>
      </c>
      <c r="W257" s="5">
        <v>0</v>
      </c>
      <c r="X257" s="5"/>
    </row>
    <row r="258" spans="1:44" x14ac:dyDescent="0.25">
      <c r="A258">
        <v>1863720</v>
      </c>
      <c r="B258" t="s">
        <v>30</v>
      </c>
      <c r="C258" t="s">
        <v>547</v>
      </c>
      <c r="D258" t="s">
        <v>744</v>
      </c>
      <c r="E258" t="s">
        <v>22</v>
      </c>
      <c r="F258" t="s">
        <v>23</v>
      </c>
      <c r="G258" t="s">
        <v>24</v>
      </c>
      <c r="H258" t="s">
        <v>25</v>
      </c>
      <c r="I258" t="s">
        <v>26</v>
      </c>
      <c r="J258" s="5">
        <v>1376.216968</v>
      </c>
      <c r="K258" t="s">
        <v>27</v>
      </c>
      <c r="L258" s="5">
        <v>3175.1780349300002</v>
      </c>
      <c r="M258" t="s">
        <v>548</v>
      </c>
      <c r="N258" s="12">
        <v>0</v>
      </c>
      <c r="O258">
        <v>8</v>
      </c>
      <c r="P258" t="s">
        <v>204</v>
      </c>
      <c r="Q258" s="5">
        <v>1972</v>
      </c>
      <c r="R258" s="5">
        <v>1885.4172461600001</v>
      </c>
      <c r="S258" s="10">
        <v>2698.9013296905</v>
      </c>
      <c r="T258" s="8">
        <v>0.30568265709258391</v>
      </c>
      <c r="U258" s="5">
        <v>0</v>
      </c>
      <c r="V258" s="5">
        <v>0</v>
      </c>
      <c r="W258" s="5">
        <v>0</v>
      </c>
      <c r="X258" s="5"/>
    </row>
    <row r="259" spans="1:44" x14ac:dyDescent="0.25">
      <c r="A259">
        <v>1863719</v>
      </c>
      <c r="B259" t="s">
        <v>20</v>
      </c>
      <c r="C259" t="s">
        <v>549</v>
      </c>
      <c r="D259" t="s">
        <v>744</v>
      </c>
      <c r="E259" t="s">
        <v>22</v>
      </c>
      <c r="F259" t="s">
        <v>23</v>
      </c>
      <c r="G259" t="s">
        <v>24</v>
      </c>
      <c r="H259" t="s">
        <v>25</v>
      </c>
      <c r="I259" t="s">
        <v>26</v>
      </c>
      <c r="J259" s="5">
        <v>1434.203638</v>
      </c>
      <c r="K259" t="s">
        <v>27</v>
      </c>
      <c r="L259" s="5">
        <v>3308.9488613399999</v>
      </c>
      <c r="M259" t="s">
        <v>550</v>
      </c>
      <c r="N259" s="12">
        <v>0</v>
      </c>
      <c r="O259">
        <v>17</v>
      </c>
      <c r="P259" t="s">
        <v>204</v>
      </c>
      <c r="Q259" s="5">
        <v>2025</v>
      </c>
      <c r="R259" s="5">
        <v>1964.85898406</v>
      </c>
      <c r="S259" s="10">
        <v>2812.6065321390001</v>
      </c>
      <c r="T259" s="8">
        <v>0.31740623141921509</v>
      </c>
      <c r="U259" s="5">
        <v>0</v>
      </c>
      <c r="V259" s="5">
        <v>0</v>
      </c>
      <c r="W259" s="5">
        <v>0</v>
      </c>
      <c r="X259" s="5"/>
    </row>
    <row r="260" spans="1:44" x14ac:dyDescent="0.25">
      <c r="A260">
        <v>1875931</v>
      </c>
      <c r="B260" t="s">
        <v>20</v>
      </c>
      <c r="C260" t="s">
        <v>551</v>
      </c>
      <c r="D260" t="s">
        <v>744</v>
      </c>
      <c r="E260" t="s">
        <v>22</v>
      </c>
      <c r="F260" t="s">
        <v>23</v>
      </c>
      <c r="G260" t="s">
        <v>24</v>
      </c>
      <c r="H260" t="s">
        <v>25</v>
      </c>
      <c r="I260" t="s">
        <v>26</v>
      </c>
      <c r="J260" s="5">
        <v>2255.4053359999998</v>
      </c>
      <c r="K260" t="s">
        <v>27</v>
      </c>
      <c r="L260" s="5">
        <v>6012.5474937599993</v>
      </c>
      <c r="M260" t="s">
        <v>552</v>
      </c>
      <c r="N260" s="12">
        <v>0</v>
      </c>
      <c r="O260">
        <v>0</v>
      </c>
      <c r="P260" t="s">
        <v>204</v>
      </c>
      <c r="Q260" s="5">
        <v>0</v>
      </c>
      <c r="R260" s="5">
        <v>3089.9053103200008</v>
      </c>
      <c r="S260" s="10">
        <v>5110.6653696959993</v>
      </c>
      <c r="T260" s="8">
        <v>0.39540058156775792</v>
      </c>
      <c r="U260" s="5">
        <v>0</v>
      </c>
      <c r="V260" s="5">
        <v>0</v>
      </c>
      <c r="W260" s="5">
        <v>0</v>
      </c>
      <c r="X260" s="5"/>
    </row>
    <row r="261" spans="1:44" x14ac:dyDescent="0.25">
      <c r="A261">
        <v>1875935</v>
      </c>
      <c r="B261" t="s">
        <v>20</v>
      </c>
      <c r="C261" t="s">
        <v>553</v>
      </c>
      <c r="D261" t="s">
        <v>744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s="5">
        <v>2671.8048520000002</v>
      </c>
      <c r="K261" t="s">
        <v>27</v>
      </c>
      <c r="L261" s="5">
        <v>7122.6073631400004</v>
      </c>
      <c r="M261" t="s">
        <v>554</v>
      </c>
      <c r="N261" s="12">
        <v>0</v>
      </c>
      <c r="O261">
        <v>0</v>
      </c>
      <c r="P261" t="s">
        <v>204</v>
      </c>
      <c r="Q261" s="5">
        <v>0</v>
      </c>
      <c r="R261" s="5">
        <v>3660.3726472400008</v>
      </c>
      <c r="S261" s="10">
        <v>6054.2162586690001</v>
      </c>
      <c r="T261" s="8">
        <v>0.39540107408638858</v>
      </c>
      <c r="U261" s="5">
        <v>0</v>
      </c>
      <c r="V261" s="5">
        <v>0</v>
      </c>
      <c r="W261" s="5">
        <v>0</v>
      </c>
      <c r="X261" s="5"/>
    </row>
    <row r="262" spans="1:44" x14ac:dyDescent="0.25">
      <c r="A262">
        <v>1875934</v>
      </c>
      <c r="B262" t="s">
        <v>30</v>
      </c>
      <c r="C262" t="s">
        <v>555</v>
      </c>
      <c r="D262" t="s">
        <v>744</v>
      </c>
      <c r="E262" t="s">
        <v>22</v>
      </c>
      <c r="F262" t="s">
        <v>23</v>
      </c>
      <c r="G262" t="s">
        <v>24</v>
      </c>
      <c r="H262" t="s">
        <v>25</v>
      </c>
      <c r="I262" t="s">
        <v>26</v>
      </c>
      <c r="J262" s="5">
        <v>1444.1442099999999</v>
      </c>
      <c r="K262" t="s">
        <v>27</v>
      </c>
      <c r="L262" s="5">
        <v>3849.8535007800001</v>
      </c>
      <c r="M262" t="s">
        <v>556</v>
      </c>
      <c r="N262" s="12">
        <v>0</v>
      </c>
      <c r="O262">
        <v>0</v>
      </c>
      <c r="P262" t="s">
        <v>204</v>
      </c>
      <c r="Q262" s="5">
        <v>0</v>
      </c>
      <c r="R262" s="5">
        <v>1978.4775677</v>
      </c>
      <c r="S262" s="10">
        <v>3272.3754756630001</v>
      </c>
      <c r="T262" s="8">
        <v>0.39540019706963758</v>
      </c>
      <c r="U262" s="5">
        <v>0</v>
      </c>
      <c r="V262" s="5">
        <v>0</v>
      </c>
      <c r="W262" s="5">
        <v>0</v>
      </c>
      <c r="X262" s="5"/>
    </row>
    <row r="263" spans="1:44" x14ac:dyDescent="0.25">
      <c r="A263">
        <v>1875933</v>
      </c>
      <c r="B263" t="s">
        <v>20</v>
      </c>
      <c r="C263" t="s">
        <v>557</v>
      </c>
      <c r="D263" t="s">
        <v>744</v>
      </c>
      <c r="E263" t="s">
        <v>22</v>
      </c>
      <c r="F263" t="s">
        <v>23</v>
      </c>
      <c r="G263" t="s">
        <v>24</v>
      </c>
      <c r="H263" t="s">
        <v>25</v>
      </c>
      <c r="I263" t="s">
        <v>26</v>
      </c>
      <c r="J263" s="5">
        <v>1582.7599640000001</v>
      </c>
      <c r="K263" t="s">
        <v>27</v>
      </c>
      <c r="L263" s="5">
        <v>4219.3883460899997</v>
      </c>
      <c r="M263" t="s">
        <v>558</v>
      </c>
      <c r="N263" s="12">
        <v>0</v>
      </c>
      <c r="O263">
        <v>0</v>
      </c>
      <c r="P263" t="s">
        <v>204</v>
      </c>
      <c r="Q263" s="5">
        <v>0</v>
      </c>
      <c r="R263" s="5">
        <v>2168.3811506799998</v>
      </c>
      <c r="S263" s="10">
        <v>3586.4800941765002</v>
      </c>
      <c r="T263" s="8">
        <v>0.39540131445288629</v>
      </c>
      <c r="U263" s="5">
        <v>0</v>
      </c>
      <c r="V263" s="5">
        <v>0</v>
      </c>
      <c r="W263" s="5">
        <v>0</v>
      </c>
      <c r="X263" s="5"/>
    </row>
    <row r="264" spans="1:44" x14ac:dyDescent="0.25">
      <c r="A264">
        <v>1875932</v>
      </c>
      <c r="B264" t="s">
        <v>30</v>
      </c>
      <c r="C264" t="s">
        <v>559</v>
      </c>
      <c r="D264" t="s">
        <v>744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s="5">
        <v>1249.750802</v>
      </c>
      <c r="K264" t="s">
        <v>27</v>
      </c>
      <c r="L264" s="5">
        <v>3331.634941589999</v>
      </c>
      <c r="M264" t="s">
        <v>560</v>
      </c>
      <c r="N264" s="12">
        <v>0</v>
      </c>
      <c r="O264">
        <v>0</v>
      </c>
      <c r="P264" t="s">
        <v>204</v>
      </c>
      <c r="Q264" s="5">
        <v>0</v>
      </c>
      <c r="R264" s="5">
        <v>1712.1585987399999</v>
      </c>
      <c r="S264" s="10">
        <v>2831.889700351499</v>
      </c>
      <c r="T264" s="8">
        <v>0.39540067590645078</v>
      </c>
      <c r="U264" s="5">
        <v>0</v>
      </c>
      <c r="V264" s="5">
        <v>0</v>
      </c>
      <c r="W264" s="5">
        <v>0</v>
      </c>
      <c r="X264" s="5"/>
    </row>
    <row r="265" spans="1:44" x14ac:dyDescent="0.25">
      <c r="A265">
        <v>1875924</v>
      </c>
      <c r="B265" t="s">
        <v>20</v>
      </c>
      <c r="C265" t="s">
        <v>561</v>
      </c>
      <c r="D265" t="s">
        <v>744</v>
      </c>
      <c r="E265" t="s">
        <v>22</v>
      </c>
      <c r="F265" t="s">
        <v>23</v>
      </c>
      <c r="G265" t="s">
        <v>24</v>
      </c>
      <c r="H265" t="s">
        <v>25</v>
      </c>
      <c r="I265" t="s">
        <v>26</v>
      </c>
      <c r="J265" s="5">
        <v>1958.844938</v>
      </c>
      <c r="K265" t="s">
        <v>27</v>
      </c>
      <c r="L265" s="5">
        <v>5221.9761205799996</v>
      </c>
      <c r="M265" t="s">
        <v>562</v>
      </c>
      <c r="N265" s="12">
        <v>0</v>
      </c>
      <c r="O265">
        <v>0</v>
      </c>
      <c r="P265" t="s">
        <v>204</v>
      </c>
      <c r="Q265" s="5">
        <v>0</v>
      </c>
      <c r="R265" s="5">
        <v>2683.6175650599998</v>
      </c>
      <c r="S265" s="10">
        <v>4438.6797024929992</v>
      </c>
      <c r="T265" s="8">
        <v>0.39540184358138353</v>
      </c>
      <c r="U265" s="5">
        <v>0</v>
      </c>
      <c r="V265" s="5">
        <v>0</v>
      </c>
      <c r="W265" s="5">
        <v>0</v>
      </c>
      <c r="X265" s="5"/>
    </row>
    <row r="266" spans="1:44" x14ac:dyDescent="0.25">
      <c r="A266">
        <v>1875950</v>
      </c>
      <c r="B266" t="s">
        <v>20</v>
      </c>
      <c r="C266" t="s">
        <v>563</v>
      </c>
      <c r="D266" t="s">
        <v>744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s="5">
        <v>1666.150318</v>
      </c>
      <c r="K266" t="s">
        <v>27</v>
      </c>
      <c r="L266" s="5">
        <v>4441.6948109699997</v>
      </c>
      <c r="M266" t="s">
        <v>564</v>
      </c>
      <c r="N266" s="12">
        <v>0</v>
      </c>
      <c r="O266">
        <v>0</v>
      </c>
      <c r="P266" t="s">
        <v>204</v>
      </c>
      <c r="Q266" s="5">
        <v>0</v>
      </c>
      <c r="R266" s="5">
        <v>2282.6259356599999</v>
      </c>
      <c r="S266" s="10">
        <v>3775.4405893244998</v>
      </c>
      <c r="T266" s="8">
        <v>0.39540144212190959</v>
      </c>
      <c r="U266" s="5">
        <v>0</v>
      </c>
      <c r="V266" s="5">
        <v>0</v>
      </c>
      <c r="W266" s="5">
        <v>0</v>
      </c>
      <c r="X266" s="5"/>
    </row>
    <row r="267" spans="1:44" x14ac:dyDescent="0.25">
      <c r="A267">
        <v>1875944</v>
      </c>
      <c r="B267" t="s">
        <v>30</v>
      </c>
      <c r="C267" t="s">
        <v>565</v>
      </c>
      <c r="D267" t="s">
        <v>744</v>
      </c>
      <c r="E267" t="s">
        <v>22</v>
      </c>
      <c r="F267" t="s">
        <v>23</v>
      </c>
      <c r="G267" t="s">
        <v>24</v>
      </c>
      <c r="H267" t="s">
        <v>25</v>
      </c>
      <c r="I267" t="s">
        <v>26</v>
      </c>
      <c r="J267" s="5">
        <v>1727.4505119999999</v>
      </c>
      <c r="K267" t="s">
        <v>27</v>
      </c>
      <c r="L267" s="5">
        <v>4605.1030750500004</v>
      </c>
      <c r="M267" t="s">
        <v>566</v>
      </c>
      <c r="N267" s="12">
        <v>0</v>
      </c>
      <c r="O267">
        <v>0</v>
      </c>
      <c r="P267" t="s">
        <v>204</v>
      </c>
      <c r="Q267" s="5">
        <v>0</v>
      </c>
      <c r="R267" s="5">
        <v>2366.6072014400002</v>
      </c>
      <c r="S267" s="10">
        <v>3914.3376137925002</v>
      </c>
      <c r="T267" s="8">
        <v>0.39540033718577078</v>
      </c>
      <c r="U267" s="5">
        <v>0</v>
      </c>
      <c r="V267" s="5">
        <v>0</v>
      </c>
      <c r="W267" s="5">
        <v>0</v>
      </c>
      <c r="X267" s="5"/>
    </row>
    <row r="268" spans="1:44" x14ac:dyDescent="0.25">
      <c r="A268">
        <v>170247</v>
      </c>
      <c r="B268" t="s">
        <v>20</v>
      </c>
      <c r="C268" t="s">
        <v>567</v>
      </c>
      <c r="D268">
        <v>9913210</v>
      </c>
      <c r="E268" t="s">
        <v>22</v>
      </c>
      <c r="F268" t="s">
        <v>23</v>
      </c>
      <c r="G268" t="s">
        <v>24</v>
      </c>
      <c r="H268" t="s">
        <v>25</v>
      </c>
      <c r="I268" t="s">
        <v>26</v>
      </c>
      <c r="J268" s="5">
        <v>1577.2374239999999</v>
      </c>
      <c r="K268" t="s">
        <v>27</v>
      </c>
      <c r="L268" s="5">
        <v>5063.9611510499999</v>
      </c>
      <c r="M268" t="s">
        <v>568</v>
      </c>
      <c r="N268" s="12">
        <v>0</v>
      </c>
      <c r="O268">
        <v>0</v>
      </c>
      <c r="P268" t="s">
        <v>204</v>
      </c>
      <c r="Q268" s="5">
        <v>0</v>
      </c>
      <c r="R268" s="5">
        <v>2160.8152708799998</v>
      </c>
      <c r="S268" s="10">
        <v>4304.3669783924997</v>
      </c>
      <c r="T268" s="8">
        <v>0.49799464550139871</v>
      </c>
      <c r="U268" s="5">
        <v>0</v>
      </c>
      <c r="V268" s="5">
        <v>0</v>
      </c>
      <c r="W268" s="5">
        <v>0</v>
      </c>
      <c r="X268" s="5"/>
    </row>
    <row r="269" spans="1:44" x14ac:dyDescent="0.25">
      <c r="A269">
        <v>170270</v>
      </c>
      <c r="B269" t="s">
        <v>30</v>
      </c>
      <c r="C269" t="s">
        <v>569</v>
      </c>
      <c r="D269" t="s">
        <v>735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s="5">
        <v>1379.5304920000001</v>
      </c>
      <c r="K269" t="s">
        <v>27</v>
      </c>
      <c r="L269" s="5">
        <v>4297.3086111599996</v>
      </c>
      <c r="M269" t="s">
        <v>570</v>
      </c>
      <c r="N269" s="12">
        <v>0</v>
      </c>
      <c r="O269">
        <v>0</v>
      </c>
      <c r="P269" t="s">
        <v>204</v>
      </c>
      <c r="Q269" s="5">
        <v>0</v>
      </c>
      <c r="R269" s="5">
        <v>1889.95677404</v>
      </c>
      <c r="S269" s="10">
        <v>3652.7123194860001</v>
      </c>
      <c r="T269" s="8">
        <v>0.48258811295986481</v>
      </c>
      <c r="U269" s="5">
        <v>0</v>
      </c>
      <c r="V269" s="5">
        <v>0</v>
      </c>
      <c r="W269" s="5">
        <v>2957.4</v>
      </c>
      <c r="X269" s="8">
        <f>1-(S269/W269)</f>
        <v>-0.23510932558531139</v>
      </c>
      <c r="AB269">
        <f>A269</f>
        <v>170270</v>
      </c>
      <c r="AC269">
        <f>IFERROR(IF(OR(NOT(ISNUMBER(S269)),NOT(ISNUMBER(W269))),"",IF(OR(S269&lt;=0,W269&lt;=0),"",(1-S269/W269)*100)),"")</f>
        <v>-23.510932558531138</v>
      </c>
      <c r="AD269">
        <f>IF(AC269="","",(MAX(S269,W269)/MIN(S269,W269)-1)*100)</f>
        <v>23.510932558531138</v>
      </c>
      <c r="AE269">
        <f>IF(AC269="","",ABS(W269-S269))</f>
        <v>695.31231948599998</v>
      </c>
      <c r="AF269">
        <f>IF(AC269="","",IF(AND(AE269&lt;MAX(Расч!$B$11,S269*Расч!$B$12),IF(AD269&lt;Расч!$B$7,0,IF(AD269&lt;Расч!$B$8,1,IF(AD269&lt;Расч!$B$9,2,IF(AD269&lt;Расч!$B$10,3,4))))&gt;1),1,IF(AD269&lt;Расч!$B$7,0,IF(AD269&lt;Расч!$B$8,1,IF(AD269&lt;Расч!$B$9,2,IF(AD269&lt;Расч!$B$10,3,4))))))</f>
        <v>0</v>
      </c>
      <c r="AK269">
        <f>IF(AC269="","",AC269)</f>
        <v>-23.510932558531138</v>
      </c>
      <c r="AL269">
        <f>IF(AE269="","",AE269)</f>
        <v>695.31231948599998</v>
      </c>
      <c r="AM269">
        <f>IF(AF269="","",AF269)</f>
        <v>0</v>
      </c>
      <c r="AN269" t="str">
        <f>IF(AM269="","нет данных",CHOOSE(AM269+1,"Норма","Лёгкое отклонение","Заметный разброс","Выброс","Экстремальный выброс"))</f>
        <v>Норма</v>
      </c>
      <c r="AO269">
        <f>IF(OR(AC269="",NOT(ISNUMBER(N269))),0,MAX(N269,0))</f>
        <v>0</v>
      </c>
      <c r="AP269">
        <f>IF(AC269="",0,AC269*AO269)</f>
        <v>0</v>
      </c>
      <c r="AQ269">
        <f>IF(OR(AC269="",NOT(ISNUMBER(O269))),0,MAX(O269,0)*S269)</f>
        <v>0</v>
      </c>
      <c r="AR269">
        <f>IF(AC269="",0,AC269*AQ269)</f>
        <v>0</v>
      </c>
    </row>
    <row r="270" spans="1:44" x14ac:dyDescent="0.25">
      <c r="A270">
        <v>1875949</v>
      </c>
      <c r="B270" t="s">
        <v>20</v>
      </c>
      <c r="C270" t="s">
        <v>571</v>
      </c>
      <c r="D270" t="s">
        <v>744</v>
      </c>
      <c r="E270" t="s">
        <v>22</v>
      </c>
      <c r="F270" t="s">
        <v>23</v>
      </c>
      <c r="G270" t="s">
        <v>24</v>
      </c>
      <c r="H270" t="s">
        <v>25</v>
      </c>
      <c r="I270" t="s">
        <v>26</v>
      </c>
      <c r="J270" s="5">
        <v>1555.147264</v>
      </c>
      <c r="K270" t="s">
        <v>27</v>
      </c>
      <c r="L270" s="5">
        <v>4145.78271666</v>
      </c>
      <c r="M270" t="s">
        <v>572</v>
      </c>
      <c r="N270" s="12">
        <v>0</v>
      </c>
      <c r="O270">
        <v>0</v>
      </c>
      <c r="P270" t="s">
        <v>204</v>
      </c>
      <c r="Q270" s="5">
        <v>0</v>
      </c>
      <c r="R270" s="5">
        <v>2130.551751680001</v>
      </c>
      <c r="S270" s="10">
        <v>3523.9153091610001</v>
      </c>
      <c r="T270" s="8">
        <v>0.39540211249081969</v>
      </c>
      <c r="U270" s="5">
        <v>0</v>
      </c>
      <c r="V270" s="5">
        <v>0</v>
      </c>
      <c r="W270" s="5">
        <v>0</v>
      </c>
      <c r="X270" s="5"/>
    </row>
    <row r="271" spans="1:44" x14ac:dyDescent="0.25">
      <c r="A271">
        <v>1875947</v>
      </c>
      <c r="B271" t="s">
        <v>20</v>
      </c>
      <c r="C271" t="s">
        <v>573</v>
      </c>
      <c r="D271" t="s">
        <v>744</v>
      </c>
      <c r="E271" t="s">
        <v>22</v>
      </c>
      <c r="F271" t="s">
        <v>23</v>
      </c>
      <c r="G271" t="s">
        <v>24</v>
      </c>
      <c r="H271" t="s">
        <v>25</v>
      </c>
      <c r="I271" t="s">
        <v>26</v>
      </c>
      <c r="J271" s="5">
        <v>2498.9493499999999</v>
      </c>
      <c r="K271" t="s">
        <v>27</v>
      </c>
      <c r="L271" s="5">
        <v>6661.79742816</v>
      </c>
      <c r="M271" t="s">
        <v>574</v>
      </c>
      <c r="N271" s="12">
        <v>0</v>
      </c>
      <c r="O271">
        <v>0</v>
      </c>
      <c r="P271" t="s">
        <v>204</v>
      </c>
      <c r="Q271" s="5">
        <v>0</v>
      </c>
      <c r="R271" s="5">
        <v>3423.5606095000012</v>
      </c>
      <c r="S271" s="10">
        <v>5662.5278139359998</v>
      </c>
      <c r="T271" s="8">
        <v>0.3954006546203086</v>
      </c>
      <c r="U271" s="5">
        <v>0</v>
      </c>
      <c r="V271" s="5">
        <v>0</v>
      </c>
      <c r="W271" s="5">
        <v>0</v>
      </c>
      <c r="X271" s="5"/>
    </row>
    <row r="272" spans="1:44" x14ac:dyDescent="0.25">
      <c r="A272">
        <v>1875946</v>
      </c>
      <c r="B272" t="s">
        <v>30</v>
      </c>
      <c r="C272" t="s">
        <v>575</v>
      </c>
      <c r="D272" t="s">
        <v>744</v>
      </c>
      <c r="E272" t="s">
        <v>22</v>
      </c>
      <c r="F272" t="s">
        <v>23</v>
      </c>
      <c r="G272" t="s">
        <v>24</v>
      </c>
      <c r="H272" t="s">
        <v>25</v>
      </c>
      <c r="I272" t="s">
        <v>26</v>
      </c>
      <c r="J272" s="5">
        <v>1444.1442099999999</v>
      </c>
      <c r="K272" t="s">
        <v>27</v>
      </c>
      <c r="L272" s="5">
        <v>3849.8535007800001</v>
      </c>
      <c r="M272" t="s">
        <v>576</v>
      </c>
      <c r="N272" s="12">
        <v>0</v>
      </c>
      <c r="O272">
        <v>0</v>
      </c>
      <c r="P272" t="s">
        <v>204</v>
      </c>
      <c r="Q272" s="5">
        <v>0</v>
      </c>
      <c r="R272" s="5">
        <v>1978.4775677</v>
      </c>
      <c r="S272" s="10">
        <v>3272.3754756630001</v>
      </c>
      <c r="T272" s="8">
        <v>0.39540019706963758</v>
      </c>
      <c r="U272" s="5">
        <v>0</v>
      </c>
      <c r="V272" s="5">
        <v>0</v>
      </c>
      <c r="W272" s="5">
        <v>0</v>
      </c>
      <c r="X272" s="5"/>
    </row>
    <row r="273" spans="1:44" x14ac:dyDescent="0.25">
      <c r="A273">
        <v>1875945</v>
      </c>
      <c r="B273" t="s">
        <v>20</v>
      </c>
      <c r="C273" t="s">
        <v>577</v>
      </c>
      <c r="D273" t="s">
        <v>744</v>
      </c>
      <c r="E273" t="s">
        <v>22</v>
      </c>
      <c r="F273" t="s">
        <v>23</v>
      </c>
      <c r="G273" t="s">
        <v>24</v>
      </c>
      <c r="H273" t="s">
        <v>25</v>
      </c>
      <c r="I273" t="s">
        <v>26</v>
      </c>
      <c r="J273" s="5">
        <v>1958.844938</v>
      </c>
      <c r="K273" t="s">
        <v>27</v>
      </c>
      <c r="L273" s="5">
        <v>5221.9761205799996</v>
      </c>
      <c r="M273" t="s">
        <v>578</v>
      </c>
      <c r="N273" s="12">
        <v>0</v>
      </c>
      <c r="O273">
        <v>0</v>
      </c>
      <c r="P273" t="s">
        <v>204</v>
      </c>
      <c r="Q273" s="5">
        <v>0</v>
      </c>
      <c r="R273" s="5">
        <v>2683.6175650599998</v>
      </c>
      <c r="S273" s="10">
        <v>4438.6797024929992</v>
      </c>
      <c r="T273" s="8">
        <v>0.39540184358138353</v>
      </c>
      <c r="U273" s="5">
        <v>0</v>
      </c>
      <c r="V273" s="5">
        <v>0</v>
      </c>
      <c r="W273" s="5">
        <v>0</v>
      </c>
      <c r="X273" s="5"/>
    </row>
    <row r="274" spans="1:44" x14ac:dyDescent="0.25">
      <c r="A274">
        <v>1875948</v>
      </c>
      <c r="B274" t="s">
        <v>30</v>
      </c>
      <c r="C274" t="s">
        <v>579</v>
      </c>
      <c r="D274" t="s">
        <v>744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s="5">
        <v>1987.009892</v>
      </c>
      <c r="K274" t="s">
        <v>27</v>
      </c>
      <c r="L274" s="5">
        <v>5297.05420503</v>
      </c>
      <c r="M274" t="s">
        <v>580</v>
      </c>
      <c r="N274" s="12">
        <v>0</v>
      </c>
      <c r="O274">
        <v>0</v>
      </c>
      <c r="P274" t="s">
        <v>204</v>
      </c>
      <c r="Q274" s="5">
        <v>0</v>
      </c>
      <c r="R274" s="5">
        <v>2722.20355204</v>
      </c>
      <c r="S274" s="10">
        <v>4502.4960742755002</v>
      </c>
      <c r="T274" s="8">
        <v>0.39540123808369287</v>
      </c>
      <c r="U274" s="5">
        <v>0</v>
      </c>
      <c r="V274" s="5">
        <v>0</v>
      </c>
      <c r="W274" s="5">
        <v>0</v>
      </c>
      <c r="X274" s="5"/>
    </row>
    <row r="275" spans="1:44" x14ac:dyDescent="0.25">
      <c r="A275">
        <v>1875942</v>
      </c>
      <c r="B275" t="s">
        <v>30</v>
      </c>
      <c r="C275" t="s">
        <v>581</v>
      </c>
      <c r="D275" t="s">
        <v>744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J275" s="5">
        <v>2221.1655879999998</v>
      </c>
      <c r="K275" t="s">
        <v>27</v>
      </c>
      <c r="L275" s="5">
        <v>5921.2724040899993</v>
      </c>
      <c r="M275" t="s">
        <v>582</v>
      </c>
      <c r="N275" s="12">
        <v>0</v>
      </c>
      <c r="O275">
        <v>0</v>
      </c>
      <c r="P275" t="s">
        <v>204</v>
      </c>
      <c r="Q275" s="5">
        <v>0</v>
      </c>
      <c r="R275" s="5">
        <v>3042.9968555600012</v>
      </c>
      <c r="S275" s="10">
        <v>5033.0815434764991</v>
      </c>
      <c r="T275" s="8">
        <v>0.39540084354403038</v>
      </c>
      <c r="U275" s="5">
        <v>0</v>
      </c>
      <c r="V275" s="5">
        <v>0</v>
      </c>
      <c r="W275" s="5">
        <v>0</v>
      </c>
      <c r="X275" s="5"/>
    </row>
    <row r="276" spans="1:44" x14ac:dyDescent="0.25">
      <c r="A276">
        <v>1875943</v>
      </c>
      <c r="B276" t="s">
        <v>20</v>
      </c>
      <c r="C276" t="s">
        <v>583</v>
      </c>
      <c r="D276" t="s">
        <v>744</v>
      </c>
      <c r="E276" t="s">
        <v>22</v>
      </c>
      <c r="F276" t="s">
        <v>23</v>
      </c>
      <c r="G276" t="s">
        <v>24</v>
      </c>
      <c r="H276" t="s">
        <v>25</v>
      </c>
      <c r="I276" t="s">
        <v>26</v>
      </c>
      <c r="J276" s="5">
        <v>2267.554924</v>
      </c>
      <c r="K276" t="s">
        <v>27</v>
      </c>
      <c r="L276" s="5">
        <v>6044.9415041999991</v>
      </c>
      <c r="M276" t="s">
        <v>584</v>
      </c>
      <c r="N276" s="12">
        <v>0</v>
      </c>
      <c r="O276">
        <v>0</v>
      </c>
      <c r="P276" t="s">
        <v>204</v>
      </c>
      <c r="Q276" s="5">
        <v>0</v>
      </c>
      <c r="R276" s="5">
        <v>3106.5502458800001</v>
      </c>
      <c r="S276" s="10">
        <v>5138.2002785699988</v>
      </c>
      <c r="T276" s="8">
        <v>0.3954010981556022</v>
      </c>
      <c r="U276" s="5">
        <v>0</v>
      </c>
      <c r="V276" s="5">
        <v>0</v>
      </c>
      <c r="W276" s="5">
        <v>0</v>
      </c>
      <c r="X276" s="5"/>
    </row>
    <row r="277" spans="1:44" x14ac:dyDescent="0.25">
      <c r="A277">
        <v>1863176</v>
      </c>
      <c r="B277" t="s">
        <v>30</v>
      </c>
      <c r="C277" t="s">
        <v>585</v>
      </c>
      <c r="D277" t="s">
        <v>744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s="5">
        <v>2701.6265680000001</v>
      </c>
      <c r="K277" t="s">
        <v>27</v>
      </c>
      <c r="L277" s="5">
        <v>5115.6682924500001</v>
      </c>
      <c r="M277" t="s">
        <v>586</v>
      </c>
      <c r="N277" s="12">
        <v>0</v>
      </c>
      <c r="O277">
        <v>4</v>
      </c>
      <c r="P277" t="s">
        <v>204</v>
      </c>
      <c r="Q277" s="5">
        <v>3954</v>
      </c>
      <c r="R277" s="5">
        <v>3701.2283981599999</v>
      </c>
      <c r="S277" s="10">
        <v>4348.3180485824996</v>
      </c>
      <c r="T277" s="8">
        <v>0.12714756427780879</v>
      </c>
      <c r="U277" s="5">
        <v>0</v>
      </c>
      <c r="V277" s="5">
        <v>0</v>
      </c>
      <c r="W277" s="5">
        <v>5443.12</v>
      </c>
      <c r="X277" s="8">
        <f>1-(S277/W277)</f>
        <v>0.2011350018771404</v>
      </c>
      <c r="AB277">
        <f>A277</f>
        <v>1863176</v>
      </c>
      <c r="AC277">
        <f>IFERROR(IF(OR(NOT(ISNUMBER(S277)),NOT(ISNUMBER(W277))),"",IF(OR(S277&lt;=0,W277&lt;=0),"",(1-S277/W277)*100)),"")</f>
        <v>20.113500187714038</v>
      </c>
      <c r="AD277">
        <f>IF(AC277="","",(MAX(S277,W277)/MIN(S277,W277)-1)*100)</f>
        <v>25.177596008056334</v>
      </c>
      <c r="AE277">
        <f>IF(AC277="","",ABS(W277-S277))</f>
        <v>1094.8019514175003</v>
      </c>
      <c r="AF277">
        <f>IF(AC277="","",IF(AND(AE277&lt;MAX(Расч!$B$11,S277*Расч!$B$12),IF(AD277&lt;Расч!$B$7,0,IF(AD277&lt;Расч!$B$8,1,IF(AD277&lt;Расч!$B$9,2,IF(AD277&lt;Расч!$B$10,3,4))))&gt;1),1,IF(AD277&lt;Расч!$B$7,0,IF(AD277&lt;Расч!$B$8,1,IF(AD277&lt;Расч!$B$9,2,IF(AD277&lt;Расч!$B$10,3,4))))))</f>
        <v>0</v>
      </c>
      <c r="AK277">
        <f t="shared" ref="AK277:AK279" si="72">IF(AC277="","",AC277)</f>
        <v>20.113500187714038</v>
      </c>
      <c r="AL277">
        <f t="shared" ref="AL277:AL279" si="73">IF(AE277="","",AE277)</f>
        <v>1094.8019514175003</v>
      </c>
      <c r="AM277">
        <f t="shared" ref="AM277:AM279" si="74">IF(AF277="","",AF277)</f>
        <v>0</v>
      </c>
      <c r="AN277" t="str">
        <f t="shared" ref="AN277:AN279" si="75">IF(AM277="","нет данных",CHOOSE(AM277+1,"Норма","Лёгкое отклонение","Заметный разброс","Выброс","Экстремальный выброс"))</f>
        <v>Норма</v>
      </c>
      <c r="AO277">
        <f>IF(OR(AC277="",NOT(ISNUMBER(N277))),0,MAX(N277,0))</f>
        <v>0</v>
      </c>
      <c r="AP277">
        <f t="shared" ref="AP277:AP279" si="76">IF(AC277="",0,AC277*AO277)</f>
        <v>0</v>
      </c>
      <c r="AQ277">
        <f>IF(OR(AC277="",NOT(ISNUMBER(O277))),0,MAX(O277,0)*S277)</f>
        <v>17393.272194329998</v>
      </c>
      <c r="AR277">
        <f t="shared" ref="AR277:AR279" si="77">IF(AC277="",0,AC277*AQ277)</f>
        <v>349839.58354561776</v>
      </c>
    </row>
    <row r="278" spans="1:44" x14ac:dyDescent="0.25">
      <c r="A278">
        <v>1863175</v>
      </c>
      <c r="B278" t="s">
        <v>20</v>
      </c>
      <c r="C278" t="s">
        <v>587</v>
      </c>
      <c r="D278" t="s">
        <v>744</v>
      </c>
      <c r="E278" t="s">
        <v>22</v>
      </c>
      <c r="F278" t="s">
        <v>23</v>
      </c>
      <c r="G278" t="s">
        <v>24</v>
      </c>
      <c r="H278" t="s">
        <v>25</v>
      </c>
      <c r="I278" t="s">
        <v>26</v>
      </c>
      <c r="J278" s="5">
        <v>4434.0473659999998</v>
      </c>
      <c r="K278" t="s">
        <v>27</v>
      </c>
      <c r="L278" s="5">
        <v>8508.4786036499991</v>
      </c>
      <c r="M278" t="s">
        <v>588</v>
      </c>
      <c r="N278" s="12">
        <v>0</v>
      </c>
      <c r="O278">
        <v>4</v>
      </c>
      <c r="P278" t="s">
        <v>204</v>
      </c>
      <c r="Q278" s="5">
        <v>6490</v>
      </c>
      <c r="R278" s="5">
        <v>6074.64489142</v>
      </c>
      <c r="S278" s="10">
        <v>7232.2068131024989</v>
      </c>
      <c r="T278" s="8">
        <v>0.13864327155107431</v>
      </c>
      <c r="U278" s="5">
        <v>0</v>
      </c>
      <c r="V278" s="5">
        <v>0</v>
      </c>
      <c r="W278" s="5">
        <v>10500.23</v>
      </c>
      <c r="X278" s="8">
        <f>1-(S278/W278)</f>
        <v>0.31123348601863965</v>
      </c>
      <c r="AB278">
        <f>A278</f>
        <v>1863175</v>
      </c>
      <c r="AC278">
        <f>IFERROR(IF(OR(NOT(ISNUMBER(S278)),NOT(ISNUMBER(W278))),"",IF(OR(S278&lt;=0,W278&lt;=0),"",(1-S278/W278)*100)),"")</f>
        <v>31.123348601863967</v>
      </c>
      <c r="AD278">
        <f>IF(AC278="","",(MAX(S278,W278)/MIN(S278,W278)-1)*100)</f>
        <v>45.187081500170365</v>
      </c>
      <c r="AE278">
        <f>IF(AC278="","",ABS(W278-S278))</f>
        <v>3268.0231868975006</v>
      </c>
      <c r="AF278">
        <f>IF(AC278="","",IF(AND(AE278&lt;MAX(Расч!$B$11,S278*Расч!$B$12),IF(AD278&lt;Расч!$B$7,0,IF(AD278&lt;Расч!$B$8,1,IF(AD278&lt;Расч!$B$9,2,IF(AD278&lt;Расч!$B$10,3,4))))&gt;1),1,IF(AD278&lt;Расч!$B$7,0,IF(AD278&lt;Расч!$B$8,1,IF(AD278&lt;Расч!$B$9,2,IF(AD278&lt;Расч!$B$10,3,4))))))</f>
        <v>2</v>
      </c>
      <c r="AK278">
        <f t="shared" si="72"/>
        <v>31.123348601863967</v>
      </c>
      <c r="AL278">
        <f t="shared" si="73"/>
        <v>3268.0231868975006</v>
      </c>
      <c r="AM278">
        <f t="shared" si="74"/>
        <v>2</v>
      </c>
      <c r="AN278" t="str">
        <f t="shared" si="75"/>
        <v>Заметный разброс</v>
      </c>
      <c r="AO278">
        <f>IF(OR(AC278="",NOT(ISNUMBER(N278))),0,MAX(N278,0))</f>
        <v>0</v>
      </c>
      <c r="AP278">
        <f t="shared" si="76"/>
        <v>0</v>
      </c>
      <c r="AQ278">
        <f>IF(OR(AC278="",NOT(ISNUMBER(O278))),0,MAX(O278,0)*S278)</f>
        <v>28928.827252409996</v>
      </c>
      <c r="AR278">
        <f t="shared" si="77"/>
        <v>900361.97521985881</v>
      </c>
    </row>
    <row r="279" spans="1:44" x14ac:dyDescent="0.25">
      <c r="A279">
        <v>1863174</v>
      </c>
      <c r="B279" t="s">
        <v>294</v>
      </c>
      <c r="C279" t="s">
        <v>589</v>
      </c>
      <c r="D279" t="s">
        <v>744</v>
      </c>
      <c r="E279" t="s">
        <v>22</v>
      </c>
      <c r="F279" t="s">
        <v>23</v>
      </c>
      <c r="G279" t="s">
        <v>24</v>
      </c>
      <c r="H279" t="s">
        <v>25</v>
      </c>
      <c r="I279" t="s">
        <v>26</v>
      </c>
      <c r="J279" s="5">
        <v>2267.554924</v>
      </c>
      <c r="K279" t="s">
        <v>27</v>
      </c>
      <c r="L279" s="5">
        <v>4436.1474222899997</v>
      </c>
      <c r="M279" t="s">
        <v>590</v>
      </c>
      <c r="N279" s="12">
        <v>0</v>
      </c>
      <c r="O279">
        <v>4</v>
      </c>
      <c r="P279" t="s">
        <v>204</v>
      </c>
      <c r="Q279" s="5">
        <v>3319</v>
      </c>
      <c r="R279" s="5">
        <v>3106.5502458800001</v>
      </c>
      <c r="S279" s="10">
        <v>3770.7253089464998</v>
      </c>
      <c r="T279" s="8">
        <v>0.15511944281879239</v>
      </c>
      <c r="U279" s="5">
        <v>0</v>
      </c>
      <c r="V279" s="5">
        <v>0</v>
      </c>
      <c r="W279" s="5">
        <v>4046.48</v>
      </c>
      <c r="X279" s="8">
        <f>1-(S279/W279)</f>
        <v>6.8146806867573795E-2</v>
      </c>
      <c r="AB279">
        <f>A279</f>
        <v>1863174</v>
      </c>
      <c r="AC279">
        <f>IFERROR(IF(OR(NOT(ISNUMBER(S279)),NOT(ISNUMBER(W279))),"",IF(OR(S279&lt;=0,W279&lt;=0),"",(1-S279/W279)*100)),"")</f>
        <v>6.814680686757379</v>
      </c>
      <c r="AD279">
        <f>IF(AC279="","",(MAX(S279,W279)/MIN(S279,W279)-1)*100)</f>
        <v>7.3130410852055183</v>
      </c>
      <c r="AE279">
        <f>IF(AC279="","",ABS(W279-S279))</f>
        <v>275.75469105350021</v>
      </c>
      <c r="AF279">
        <f>IF(AC279="","",IF(AND(AE279&lt;MAX(Расч!$B$11,S279*Расч!$B$12),IF(AD279&lt;Расч!$B$7,0,IF(AD279&lt;Расч!$B$8,1,IF(AD279&lt;Расч!$B$9,2,IF(AD279&lt;Расч!$B$10,3,4))))&gt;1),1,IF(AD279&lt;Расч!$B$7,0,IF(AD279&lt;Расч!$B$8,1,IF(AD279&lt;Расч!$B$9,2,IF(AD279&lt;Расч!$B$10,3,4))))))</f>
        <v>0</v>
      </c>
      <c r="AK279">
        <f t="shared" si="72"/>
        <v>6.814680686757379</v>
      </c>
      <c r="AL279">
        <f t="shared" si="73"/>
        <v>275.75469105350021</v>
      </c>
      <c r="AM279">
        <f t="shared" si="74"/>
        <v>0</v>
      </c>
      <c r="AN279" t="str">
        <f t="shared" si="75"/>
        <v>Норма</v>
      </c>
      <c r="AO279">
        <f>IF(OR(AC279="",NOT(ISNUMBER(N279))),0,MAX(N279,0))</f>
        <v>0</v>
      </c>
      <c r="AP279">
        <f t="shared" si="76"/>
        <v>0</v>
      </c>
      <c r="AQ279">
        <f>IF(OR(AC279="",NOT(ISNUMBER(O279))),0,MAX(O279,0)*S279)</f>
        <v>15082.901235785999</v>
      </c>
      <c r="AR279">
        <f t="shared" si="77"/>
        <v>102785.15575177985</v>
      </c>
    </row>
    <row r="280" spans="1:44" x14ac:dyDescent="0.25">
      <c r="A280">
        <v>1863173</v>
      </c>
      <c r="B280" t="s">
        <v>30</v>
      </c>
      <c r="C280" t="s">
        <v>591</v>
      </c>
      <c r="D280" t="s">
        <v>744</v>
      </c>
      <c r="E280" t="s">
        <v>22</v>
      </c>
      <c r="F280" t="s">
        <v>23</v>
      </c>
      <c r="G280" t="s">
        <v>24</v>
      </c>
      <c r="H280" t="s">
        <v>25</v>
      </c>
      <c r="I280" t="s">
        <v>26</v>
      </c>
      <c r="J280" s="5">
        <v>2569.0856079999999</v>
      </c>
      <c r="K280" t="s">
        <v>27</v>
      </c>
      <c r="L280" s="5">
        <v>4855.4204284499992</v>
      </c>
      <c r="M280" t="s">
        <v>592</v>
      </c>
      <c r="N280" s="12">
        <v>0</v>
      </c>
      <c r="O280">
        <v>2</v>
      </c>
      <c r="P280" t="s">
        <v>204</v>
      </c>
      <c r="Q280" s="5">
        <v>3760</v>
      </c>
      <c r="R280" s="5">
        <v>3519.6472829600011</v>
      </c>
      <c r="S280" s="10">
        <v>4127.1073641824996</v>
      </c>
      <c r="T280" s="8">
        <v>0.12548737371776261</v>
      </c>
      <c r="U280" s="5">
        <v>0</v>
      </c>
      <c r="V280" s="5">
        <v>0</v>
      </c>
      <c r="W280" s="5">
        <v>0</v>
      </c>
      <c r="X280" s="5"/>
    </row>
    <row r="281" spans="1:44" x14ac:dyDescent="0.25">
      <c r="A281">
        <v>1875923</v>
      </c>
      <c r="B281" t="s">
        <v>30</v>
      </c>
      <c r="C281" t="s">
        <v>593</v>
      </c>
      <c r="D281" t="s">
        <v>744</v>
      </c>
      <c r="E281" t="s">
        <v>22</v>
      </c>
      <c r="F281" t="s">
        <v>23</v>
      </c>
      <c r="G281" t="s">
        <v>24</v>
      </c>
      <c r="H281" t="s">
        <v>25</v>
      </c>
      <c r="I281" t="s">
        <v>26</v>
      </c>
      <c r="J281" s="5">
        <v>1481.1452280000001</v>
      </c>
      <c r="K281" t="s">
        <v>27</v>
      </c>
      <c r="L281" s="5">
        <v>3948.5079871200001</v>
      </c>
      <c r="M281" t="s">
        <v>594</v>
      </c>
      <c r="N281" s="12">
        <v>0</v>
      </c>
      <c r="O281">
        <v>0</v>
      </c>
      <c r="P281" t="s">
        <v>204</v>
      </c>
      <c r="Q281" s="5">
        <v>0</v>
      </c>
      <c r="R281" s="5">
        <v>2029.16896236</v>
      </c>
      <c r="S281" s="10">
        <v>3356.2317890519989</v>
      </c>
      <c r="T281" s="8">
        <v>0.3954026152248683</v>
      </c>
      <c r="U281" s="5">
        <v>0</v>
      </c>
      <c r="V281" s="5">
        <v>0</v>
      </c>
      <c r="W281" s="5">
        <v>0</v>
      </c>
      <c r="X281" s="5"/>
    </row>
    <row r="282" spans="1:44" x14ac:dyDescent="0.25">
      <c r="A282">
        <v>1863172</v>
      </c>
      <c r="B282" t="s">
        <v>294</v>
      </c>
      <c r="C282" t="s">
        <v>595</v>
      </c>
      <c r="D282" t="s">
        <v>744</v>
      </c>
      <c r="E282" t="s">
        <v>22</v>
      </c>
      <c r="F282" t="s">
        <v>23</v>
      </c>
      <c r="G282" t="s">
        <v>24</v>
      </c>
      <c r="H282" t="s">
        <v>25</v>
      </c>
      <c r="I282" t="s">
        <v>26</v>
      </c>
      <c r="J282" s="5">
        <v>2182.5078079999998</v>
      </c>
      <c r="K282" t="s">
        <v>27</v>
      </c>
      <c r="L282" s="5">
        <v>4183.1248608300002</v>
      </c>
      <c r="M282" t="s">
        <v>596</v>
      </c>
      <c r="N282" s="12">
        <v>0</v>
      </c>
      <c r="O282">
        <v>6</v>
      </c>
      <c r="P282" t="s">
        <v>204</v>
      </c>
      <c r="Q282" s="5">
        <v>3194</v>
      </c>
      <c r="R282" s="5">
        <v>2990.0356969600011</v>
      </c>
      <c r="S282" s="10">
        <v>3555.6561317054998</v>
      </c>
      <c r="T282" s="8">
        <v>0.13765658064467001</v>
      </c>
      <c r="U282" s="5">
        <v>0</v>
      </c>
      <c r="V282" s="5">
        <v>0</v>
      </c>
      <c r="W282" s="5">
        <v>3938.3</v>
      </c>
      <c r="X282" s="8">
        <f>1-(S282/W282)</f>
        <v>9.7159654748114721E-2</v>
      </c>
      <c r="AB282">
        <f>A282</f>
        <v>1863172</v>
      </c>
      <c r="AC282">
        <f>IFERROR(IF(OR(NOT(ISNUMBER(S282)),NOT(ISNUMBER(W282))),"",IF(OR(S282&lt;=0,W282&lt;=0),"",(1-S282/W282)*100)),"")</f>
        <v>9.7159654748114725</v>
      </c>
      <c r="AD282">
        <f>IF(AC282="","",(MAX(S282,W282)/MIN(S282,W282)-1)*100)</f>
        <v>10.761554383240156</v>
      </c>
      <c r="AE282">
        <f>IF(AC282="","",ABS(W282-S282))</f>
        <v>382.64386829450041</v>
      </c>
      <c r="AF282">
        <f>IF(AC282="","",IF(AND(AE282&lt;MAX(Расч!$B$11,S282*Расч!$B$12),IF(AD282&lt;Расч!$B$7,0,IF(AD282&lt;Расч!$B$8,1,IF(AD282&lt;Расч!$B$9,2,IF(AD282&lt;Расч!$B$10,3,4))))&gt;1),1,IF(AD282&lt;Расч!$B$7,0,IF(AD282&lt;Расч!$B$8,1,IF(AD282&lt;Расч!$B$9,2,IF(AD282&lt;Расч!$B$10,3,4))))))</f>
        <v>0</v>
      </c>
      <c r="AK282">
        <f>IF(AC282="","",AC282)</f>
        <v>9.7159654748114725</v>
      </c>
      <c r="AL282">
        <f>IF(AE282="","",AE282)</f>
        <v>382.64386829450041</v>
      </c>
      <c r="AM282">
        <f>IF(AF282="","",AF282)</f>
        <v>0</v>
      </c>
      <c r="AN282" t="str">
        <f>IF(AM282="","нет данных",CHOOSE(AM282+1,"Норма","Лёгкое отклонение","Заметный разброс","Выброс","Экстремальный выброс"))</f>
        <v>Норма</v>
      </c>
      <c r="AO282">
        <f>IF(OR(AC282="",NOT(ISNUMBER(N282))),0,MAX(N282,0))</f>
        <v>0</v>
      </c>
      <c r="AP282">
        <f>IF(AC282="",0,AC282*AO282)</f>
        <v>0</v>
      </c>
      <c r="AQ282">
        <f>IF(OR(AC282="",NOT(ISNUMBER(O282))),0,MAX(O282,0)*S282)</f>
        <v>21333.936790232998</v>
      </c>
      <c r="AR282">
        <f>IF(AC282="",0,AC282*AQ282)</f>
        <v>207279.7932957141</v>
      </c>
    </row>
    <row r="283" spans="1:44" x14ac:dyDescent="0.25">
      <c r="A283">
        <v>1875922</v>
      </c>
      <c r="B283" t="s">
        <v>20</v>
      </c>
      <c r="C283" t="s">
        <v>597</v>
      </c>
      <c r="D283" t="s">
        <v>744</v>
      </c>
      <c r="E283" t="s">
        <v>22</v>
      </c>
      <c r="F283" t="s">
        <v>23</v>
      </c>
      <c r="G283" t="s">
        <v>24</v>
      </c>
      <c r="H283" t="s">
        <v>25</v>
      </c>
      <c r="I283" t="s">
        <v>26</v>
      </c>
      <c r="J283" s="5">
        <v>1635.2240939999999</v>
      </c>
      <c r="K283" t="s">
        <v>27</v>
      </c>
      <c r="L283" s="5">
        <v>4359.2544514199999</v>
      </c>
      <c r="M283" t="s">
        <v>598</v>
      </c>
      <c r="N283" s="12">
        <v>0</v>
      </c>
      <c r="O283">
        <v>0</v>
      </c>
      <c r="P283" t="s">
        <v>204</v>
      </c>
      <c r="Q283" s="5">
        <v>0</v>
      </c>
      <c r="R283" s="5">
        <v>2240.25700878</v>
      </c>
      <c r="S283" s="10">
        <v>3705.3662837070001</v>
      </c>
      <c r="T283" s="8">
        <v>0.39540200961218991</v>
      </c>
      <c r="U283" s="5">
        <v>0</v>
      </c>
      <c r="V283" s="5">
        <v>0</v>
      </c>
      <c r="W283" s="5">
        <v>0</v>
      </c>
      <c r="X283" s="5"/>
    </row>
    <row r="284" spans="1:44" x14ac:dyDescent="0.25">
      <c r="A284">
        <v>1875921</v>
      </c>
      <c r="B284" t="s">
        <v>20</v>
      </c>
      <c r="C284" t="s">
        <v>599</v>
      </c>
      <c r="D284" t="s">
        <v>744</v>
      </c>
      <c r="E284" t="s">
        <v>22</v>
      </c>
      <c r="F284" t="s">
        <v>23</v>
      </c>
      <c r="G284" t="s">
        <v>24</v>
      </c>
      <c r="H284" t="s">
        <v>25</v>
      </c>
      <c r="I284" t="s">
        <v>26</v>
      </c>
      <c r="J284" s="5">
        <v>2036.160498</v>
      </c>
      <c r="K284" t="s">
        <v>27</v>
      </c>
      <c r="L284" s="5">
        <v>5428.0855802400001</v>
      </c>
      <c r="M284" t="s">
        <v>600</v>
      </c>
      <c r="N284" s="12">
        <v>0</v>
      </c>
      <c r="O284">
        <v>0</v>
      </c>
      <c r="P284" t="s">
        <v>204</v>
      </c>
      <c r="Q284" s="5">
        <v>0</v>
      </c>
      <c r="R284" s="5">
        <v>2789.53988226</v>
      </c>
      <c r="S284" s="10">
        <v>4613.8727432039996</v>
      </c>
      <c r="T284" s="8">
        <v>0.39540164249895038</v>
      </c>
      <c r="U284" s="5">
        <v>0</v>
      </c>
      <c r="V284" s="5">
        <v>0</v>
      </c>
      <c r="W284" s="5">
        <v>0</v>
      </c>
      <c r="X284" s="5"/>
    </row>
    <row r="285" spans="1:44" x14ac:dyDescent="0.25">
      <c r="A285">
        <v>1875917</v>
      </c>
      <c r="B285" t="s">
        <v>20</v>
      </c>
      <c r="C285" t="s">
        <v>601</v>
      </c>
      <c r="D285" t="s">
        <v>744</v>
      </c>
      <c r="E285" t="s">
        <v>22</v>
      </c>
      <c r="F285" t="s">
        <v>23</v>
      </c>
      <c r="G285" t="s">
        <v>24</v>
      </c>
      <c r="H285" t="s">
        <v>25</v>
      </c>
      <c r="I285" t="s">
        <v>26</v>
      </c>
      <c r="J285" s="5">
        <v>1820.229184</v>
      </c>
      <c r="K285" t="s">
        <v>27</v>
      </c>
      <c r="L285" s="5">
        <v>4852.44127527</v>
      </c>
      <c r="M285" t="s">
        <v>602</v>
      </c>
      <c r="N285" s="12">
        <v>0</v>
      </c>
      <c r="O285">
        <v>0</v>
      </c>
      <c r="P285" t="s">
        <v>204</v>
      </c>
      <c r="Q285" s="5">
        <v>0</v>
      </c>
      <c r="R285" s="5">
        <v>2493.7139820799998</v>
      </c>
      <c r="S285" s="10">
        <v>4124.5750839795001</v>
      </c>
      <c r="T285" s="8">
        <v>0.39540099736189099</v>
      </c>
      <c r="U285" s="5">
        <v>0</v>
      </c>
      <c r="V285" s="5">
        <v>0</v>
      </c>
      <c r="W285" s="5">
        <v>0</v>
      </c>
      <c r="X285" s="5"/>
    </row>
    <row r="286" spans="1:44" x14ac:dyDescent="0.25">
      <c r="A286">
        <v>1875920</v>
      </c>
      <c r="B286" t="s">
        <v>30</v>
      </c>
      <c r="C286" t="s">
        <v>603</v>
      </c>
      <c r="D286" t="s">
        <v>744</v>
      </c>
      <c r="E286" t="s">
        <v>22</v>
      </c>
      <c r="F286" t="s">
        <v>23</v>
      </c>
      <c r="G286" t="s">
        <v>24</v>
      </c>
      <c r="H286" t="s">
        <v>25</v>
      </c>
      <c r="I286" t="s">
        <v>26</v>
      </c>
      <c r="J286" s="5">
        <v>1184.58483</v>
      </c>
      <c r="K286" t="s">
        <v>27</v>
      </c>
      <c r="L286" s="5">
        <v>3157.9194923700002</v>
      </c>
      <c r="M286" t="s">
        <v>604</v>
      </c>
      <c r="N286" s="12">
        <v>0</v>
      </c>
      <c r="O286">
        <v>0</v>
      </c>
      <c r="P286" t="s">
        <v>204</v>
      </c>
      <c r="Q286" s="5">
        <v>0</v>
      </c>
      <c r="R286" s="5">
        <v>1622.8812171</v>
      </c>
      <c r="S286" s="10">
        <v>2684.2315685144999</v>
      </c>
      <c r="T286" s="8">
        <v>0.39540193322510903</v>
      </c>
      <c r="U286" s="5">
        <v>0</v>
      </c>
      <c r="V286" s="5">
        <v>0</v>
      </c>
      <c r="W286" s="5">
        <v>0</v>
      </c>
      <c r="X286" s="5"/>
    </row>
    <row r="287" spans="1:44" x14ac:dyDescent="0.25">
      <c r="A287">
        <v>1875919</v>
      </c>
      <c r="B287" t="s">
        <v>20</v>
      </c>
      <c r="C287" t="s">
        <v>605</v>
      </c>
      <c r="D287" t="s">
        <v>744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 s="5">
        <v>1666.150318</v>
      </c>
      <c r="K287" t="s">
        <v>27</v>
      </c>
      <c r="L287" s="5">
        <v>4441.6948109699997</v>
      </c>
      <c r="M287" t="s">
        <v>606</v>
      </c>
      <c r="N287" s="12">
        <v>0</v>
      </c>
      <c r="O287">
        <v>0</v>
      </c>
      <c r="P287" t="s">
        <v>204</v>
      </c>
      <c r="Q287" s="5">
        <v>0</v>
      </c>
      <c r="R287" s="5">
        <v>2282.6259356599999</v>
      </c>
      <c r="S287" s="10">
        <v>3775.4405893244998</v>
      </c>
      <c r="T287" s="8">
        <v>0.39540144212190959</v>
      </c>
      <c r="U287" s="5">
        <v>0</v>
      </c>
      <c r="V287" s="5">
        <v>0</v>
      </c>
      <c r="W287" s="5">
        <v>0</v>
      </c>
      <c r="X287" s="5"/>
    </row>
    <row r="288" spans="1:44" x14ac:dyDescent="0.25">
      <c r="A288">
        <v>1875918</v>
      </c>
      <c r="B288" t="s">
        <v>30</v>
      </c>
      <c r="C288" t="s">
        <v>607</v>
      </c>
      <c r="D288" t="s">
        <v>744</v>
      </c>
      <c r="E288" t="s">
        <v>22</v>
      </c>
      <c r="F288" t="s">
        <v>23</v>
      </c>
      <c r="G288" t="s">
        <v>24</v>
      </c>
      <c r="H288" t="s">
        <v>25</v>
      </c>
      <c r="I288" t="s">
        <v>26</v>
      </c>
      <c r="J288" s="5">
        <v>1450.219004</v>
      </c>
      <c r="K288" t="s">
        <v>27</v>
      </c>
      <c r="L288" s="5">
        <v>3866.050506</v>
      </c>
      <c r="M288" t="s">
        <v>608</v>
      </c>
      <c r="N288" s="12">
        <v>0</v>
      </c>
      <c r="O288">
        <v>0</v>
      </c>
      <c r="P288" t="s">
        <v>204</v>
      </c>
      <c r="Q288" s="5">
        <v>0</v>
      </c>
      <c r="R288" s="5">
        <v>1986.8000354799999</v>
      </c>
      <c r="S288" s="10">
        <v>3286.1429300999998</v>
      </c>
      <c r="T288" s="8">
        <v>0.39540060254788112</v>
      </c>
      <c r="U288" s="5">
        <v>0</v>
      </c>
      <c r="V288" s="5">
        <v>0</v>
      </c>
      <c r="W288" s="5">
        <v>0</v>
      </c>
      <c r="X288" s="5"/>
    </row>
    <row r="289" spans="1:44" x14ac:dyDescent="0.25">
      <c r="A289">
        <v>1875915</v>
      </c>
      <c r="B289" t="s">
        <v>20</v>
      </c>
      <c r="C289" t="s">
        <v>609</v>
      </c>
      <c r="D289" t="s">
        <v>744</v>
      </c>
      <c r="E289" t="s">
        <v>22</v>
      </c>
      <c r="F289" t="s">
        <v>23</v>
      </c>
      <c r="G289" t="s">
        <v>24</v>
      </c>
      <c r="H289" t="s">
        <v>25</v>
      </c>
      <c r="I289" t="s">
        <v>26</v>
      </c>
      <c r="J289" s="5">
        <v>1943.93408</v>
      </c>
      <c r="K289" t="s">
        <v>27</v>
      </c>
      <c r="L289" s="5">
        <v>5182.2198350399995</v>
      </c>
      <c r="M289" t="s">
        <v>610</v>
      </c>
      <c r="N289" s="12">
        <v>0</v>
      </c>
      <c r="O289">
        <v>0</v>
      </c>
      <c r="P289" t="s">
        <v>204</v>
      </c>
      <c r="Q289" s="5">
        <v>0</v>
      </c>
      <c r="R289" s="5">
        <v>2663.1896895999998</v>
      </c>
      <c r="S289" s="10">
        <v>4404.8868597839992</v>
      </c>
      <c r="T289" s="8">
        <v>0.39540111372336262</v>
      </c>
      <c r="U289" s="5">
        <v>0</v>
      </c>
      <c r="V289" s="5">
        <v>0</v>
      </c>
      <c r="W289" s="5">
        <v>0</v>
      </c>
      <c r="X289" s="5"/>
    </row>
    <row r="290" spans="1:44" x14ac:dyDescent="0.25">
      <c r="A290">
        <v>1875916</v>
      </c>
      <c r="B290" t="s">
        <v>30</v>
      </c>
      <c r="C290" t="s">
        <v>611</v>
      </c>
      <c r="D290" t="s">
        <v>744</v>
      </c>
      <c r="E290" t="s">
        <v>22</v>
      </c>
      <c r="F290" t="s">
        <v>23</v>
      </c>
      <c r="G290" t="s">
        <v>24</v>
      </c>
      <c r="H290" t="s">
        <v>25</v>
      </c>
      <c r="I290" t="s">
        <v>26</v>
      </c>
      <c r="J290" s="5">
        <v>1419.29278</v>
      </c>
      <c r="K290" t="s">
        <v>27</v>
      </c>
      <c r="L290" s="5">
        <v>3783.6101464499998</v>
      </c>
      <c r="M290" t="s">
        <v>612</v>
      </c>
      <c r="N290" s="12">
        <v>0</v>
      </c>
      <c r="O290">
        <v>0</v>
      </c>
      <c r="P290" t="s">
        <v>204</v>
      </c>
      <c r="Q290" s="5">
        <v>0</v>
      </c>
      <c r="R290" s="5">
        <v>1944.4311086</v>
      </c>
      <c r="S290" s="10">
        <v>3216.0686244825001</v>
      </c>
      <c r="T290" s="8">
        <v>0.39540123808369287</v>
      </c>
      <c r="U290" s="5">
        <v>0</v>
      </c>
      <c r="V290" s="5">
        <v>0</v>
      </c>
      <c r="W290" s="5">
        <v>0</v>
      </c>
      <c r="X290" s="5"/>
    </row>
    <row r="291" spans="1:44" x14ac:dyDescent="0.25">
      <c r="A291">
        <v>1875914</v>
      </c>
      <c r="B291" t="s">
        <v>30</v>
      </c>
      <c r="C291" t="s">
        <v>613</v>
      </c>
      <c r="D291" t="s">
        <v>744</v>
      </c>
      <c r="E291" t="s">
        <v>22</v>
      </c>
      <c r="F291" t="s">
        <v>23</v>
      </c>
      <c r="G291" t="s">
        <v>24</v>
      </c>
      <c r="H291" t="s">
        <v>25</v>
      </c>
      <c r="I291" t="s">
        <v>26</v>
      </c>
      <c r="J291" s="5">
        <v>1141.509018</v>
      </c>
      <c r="K291" t="s">
        <v>27</v>
      </c>
      <c r="L291" s="5">
        <v>3043.08512238</v>
      </c>
      <c r="M291" t="s">
        <v>614</v>
      </c>
      <c r="N291" s="12">
        <v>0</v>
      </c>
      <c r="O291">
        <v>0</v>
      </c>
      <c r="P291" t="s">
        <v>204</v>
      </c>
      <c r="Q291" s="5">
        <v>0</v>
      </c>
      <c r="R291" s="5">
        <v>1563.86735466</v>
      </c>
      <c r="S291" s="10">
        <v>2586.6223540229989</v>
      </c>
      <c r="T291" s="8">
        <v>0.39540174767773828</v>
      </c>
      <c r="U291" s="5">
        <v>0</v>
      </c>
      <c r="V291" s="5">
        <v>0</v>
      </c>
      <c r="W291" s="5">
        <v>0</v>
      </c>
      <c r="X291" s="5"/>
    </row>
    <row r="292" spans="1:44" x14ac:dyDescent="0.25">
      <c r="A292">
        <v>1875913</v>
      </c>
      <c r="B292" t="s">
        <v>20</v>
      </c>
      <c r="C292" t="s">
        <v>615</v>
      </c>
      <c r="D292" t="s">
        <v>744</v>
      </c>
      <c r="E292" t="s">
        <v>22</v>
      </c>
      <c r="F292" t="s">
        <v>23</v>
      </c>
      <c r="G292" t="s">
        <v>24</v>
      </c>
      <c r="H292" t="s">
        <v>25</v>
      </c>
      <c r="I292" t="s">
        <v>26</v>
      </c>
      <c r="J292" s="5">
        <v>1758.3767359999999</v>
      </c>
      <c r="K292" t="s">
        <v>27</v>
      </c>
      <c r="L292" s="5">
        <v>4687.5605561699986</v>
      </c>
      <c r="M292" t="s">
        <v>616</v>
      </c>
      <c r="N292" s="12">
        <v>0</v>
      </c>
      <c r="O292">
        <v>0</v>
      </c>
      <c r="P292" t="s">
        <v>204</v>
      </c>
      <c r="Q292" s="5">
        <v>0</v>
      </c>
      <c r="R292" s="5">
        <v>2408.97612832</v>
      </c>
      <c r="S292" s="10">
        <v>3984.4264727444988</v>
      </c>
      <c r="T292" s="8">
        <v>0.39540203720695538</v>
      </c>
      <c r="U292" s="5">
        <v>0</v>
      </c>
      <c r="V292" s="5">
        <v>0</v>
      </c>
      <c r="W292" s="5">
        <v>0</v>
      </c>
      <c r="X292" s="5"/>
    </row>
    <row r="293" spans="1:44" x14ac:dyDescent="0.25">
      <c r="A293">
        <v>1875939</v>
      </c>
      <c r="B293" t="s">
        <v>20</v>
      </c>
      <c r="C293" t="s">
        <v>617</v>
      </c>
      <c r="D293" t="s">
        <v>744</v>
      </c>
      <c r="E293" t="s">
        <v>22</v>
      </c>
      <c r="F293" t="s">
        <v>23</v>
      </c>
      <c r="G293" t="s">
        <v>24</v>
      </c>
      <c r="H293" t="s">
        <v>25</v>
      </c>
      <c r="I293" t="s">
        <v>26</v>
      </c>
      <c r="J293" s="5">
        <v>1388.3665559999999</v>
      </c>
      <c r="K293" t="s">
        <v>27</v>
      </c>
      <c r="L293" s="5">
        <v>3701.1697869</v>
      </c>
      <c r="M293" t="s">
        <v>618</v>
      </c>
      <c r="N293" s="12">
        <v>0</v>
      </c>
      <c r="O293">
        <v>0</v>
      </c>
      <c r="P293" t="s">
        <v>204</v>
      </c>
      <c r="Q293" s="5">
        <v>0</v>
      </c>
      <c r="R293" s="5">
        <v>1902.0621817199999</v>
      </c>
      <c r="S293" s="10">
        <v>3145.994318865</v>
      </c>
      <c r="T293" s="8">
        <v>0.39540190193152691</v>
      </c>
      <c r="U293" s="5">
        <v>0</v>
      </c>
      <c r="V293" s="5">
        <v>0</v>
      </c>
      <c r="W293" s="5">
        <v>0</v>
      </c>
      <c r="X293" s="5"/>
    </row>
    <row r="294" spans="1:44" x14ac:dyDescent="0.25">
      <c r="A294">
        <v>163775</v>
      </c>
      <c r="B294" t="s">
        <v>20</v>
      </c>
      <c r="C294" t="s">
        <v>619</v>
      </c>
      <c r="D294" t="s">
        <v>808</v>
      </c>
      <c r="E294" t="s">
        <v>22</v>
      </c>
      <c r="F294" t="s">
        <v>23</v>
      </c>
      <c r="G294" t="s">
        <v>24</v>
      </c>
      <c r="H294" t="s">
        <v>25</v>
      </c>
      <c r="I294" t="s">
        <v>26</v>
      </c>
      <c r="J294" s="5">
        <v>1224.8993720000001</v>
      </c>
      <c r="K294" t="s">
        <v>27</v>
      </c>
      <c r="L294" s="5">
        <v>3931.5747543900002</v>
      </c>
      <c r="M294" t="s">
        <v>620</v>
      </c>
      <c r="N294" s="12">
        <v>0</v>
      </c>
      <c r="O294">
        <v>0</v>
      </c>
      <c r="P294" t="s">
        <v>204</v>
      </c>
      <c r="Q294" s="5">
        <v>0</v>
      </c>
      <c r="R294" s="5">
        <v>1678.1121396399999</v>
      </c>
      <c r="S294" s="10">
        <v>3341.8385412315001</v>
      </c>
      <c r="T294" s="8">
        <v>0.49784763119597042</v>
      </c>
      <c r="U294" s="5">
        <v>0</v>
      </c>
      <c r="V294" s="5">
        <v>0</v>
      </c>
      <c r="W294" s="5">
        <v>0</v>
      </c>
      <c r="X294" s="5"/>
    </row>
    <row r="295" spans="1:44" x14ac:dyDescent="0.25">
      <c r="A295">
        <v>1875937</v>
      </c>
      <c r="B295" t="s">
        <v>30</v>
      </c>
      <c r="C295" t="s">
        <v>621</v>
      </c>
      <c r="D295" t="s">
        <v>744</v>
      </c>
      <c r="E295" t="s">
        <v>22</v>
      </c>
      <c r="F295" t="s">
        <v>23</v>
      </c>
      <c r="G295" t="s">
        <v>24</v>
      </c>
      <c r="H295" t="s">
        <v>25</v>
      </c>
      <c r="I295" t="s">
        <v>26</v>
      </c>
      <c r="J295" s="5">
        <v>1249.750802</v>
      </c>
      <c r="K295" t="s">
        <v>27</v>
      </c>
      <c r="L295" s="5">
        <v>3331.634941589999</v>
      </c>
      <c r="M295" t="s">
        <v>622</v>
      </c>
      <c r="N295" s="12">
        <v>0</v>
      </c>
      <c r="O295">
        <v>0</v>
      </c>
      <c r="P295" t="s">
        <v>204</v>
      </c>
      <c r="Q295" s="5">
        <v>0</v>
      </c>
      <c r="R295" s="5">
        <v>1712.1585987399999</v>
      </c>
      <c r="S295" s="10">
        <v>2831.889700351499</v>
      </c>
      <c r="T295" s="8">
        <v>0.39540067590645078</v>
      </c>
      <c r="U295" s="5">
        <v>0</v>
      </c>
      <c r="V295" s="5">
        <v>0</v>
      </c>
      <c r="W295" s="5">
        <v>0</v>
      </c>
      <c r="X295" s="5"/>
    </row>
    <row r="296" spans="1:44" x14ac:dyDescent="0.25">
      <c r="A296">
        <v>1875936</v>
      </c>
      <c r="B296" t="s">
        <v>20</v>
      </c>
      <c r="C296" t="s">
        <v>623</v>
      </c>
      <c r="D296" t="s">
        <v>744</v>
      </c>
      <c r="E296" t="s">
        <v>22</v>
      </c>
      <c r="F296" t="s">
        <v>23</v>
      </c>
      <c r="G296" t="s">
        <v>24</v>
      </c>
      <c r="H296" t="s">
        <v>25</v>
      </c>
      <c r="I296" t="s">
        <v>26</v>
      </c>
      <c r="J296" s="5">
        <v>1557.9085339999999</v>
      </c>
      <c r="K296" t="s">
        <v>27</v>
      </c>
      <c r="L296" s="5">
        <v>4153.1449917599994</v>
      </c>
      <c r="M296" t="s">
        <v>624</v>
      </c>
      <c r="N296" s="12">
        <v>0</v>
      </c>
      <c r="O296">
        <v>0</v>
      </c>
      <c r="P296" t="s">
        <v>204</v>
      </c>
      <c r="Q296" s="5">
        <v>0</v>
      </c>
      <c r="R296" s="5">
        <v>2134.3346915799998</v>
      </c>
      <c r="S296" s="10">
        <v>3530.1732429959989</v>
      </c>
      <c r="T296" s="8">
        <v>0.39540228066296662</v>
      </c>
      <c r="U296" s="5">
        <v>0</v>
      </c>
      <c r="V296" s="5">
        <v>0</v>
      </c>
      <c r="W296" s="5">
        <v>0</v>
      </c>
      <c r="X296" s="5"/>
    </row>
    <row r="297" spans="1:44" x14ac:dyDescent="0.25">
      <c r="A297">
        <v>1875938</v>
      </c>
      <c r="B297" t="s">
        <v>20</v>
      </c>
      <c r="C297" t="s">
        <v>625</v>
      </c>
      <c r="D297" t="s">
        <v>744</v>
      </c>
      <c r="E297" t="s">
        <v>22</v>
      </c>
      <c r="F297" t="s">
        <v>23</v>
      </c>
      <c r="G297" t="s">
        <v>24</v>
      </c>
      <c r="H297" t="s">
        <v>25</v>
      </c>
      <c r="I297" t="s">
        <v>26</v>
      </c>
      <c r="J297" s="5">
        <v>1882.0816319999999</v>
      </c>
      <c r="K297" t="s">
        <v>27</v>
      </c>
      <c r="L297" s="5">
        <v>5017.3391159399998</v>
      </c>
      <c r="M297" t="s">
        <v>626</v>
      </c>
      <c r="N297" s="12">
        <v>0</v>
      </c>
      <c r="O297">
        <v>0</v>
      </c>
      <c r="P297" t="s">
        <v>204</v>
      </c>
      <c r="Q297" s="5">
        <v>0</v>
      </c>
      <c r="R297" s="5">
        <v>2578.451835840001</v>
      </c>
      <c r="S297" s="10">
        <v>4264.7382485489998</v>
      </c>
      <c r="T297" s="8">
        <v>0.39540208904561203</v>
      </c>
      <c r="U297" s="5">
        <v>0</v>
      </c>
      <c r="V297" s="5">
        <v>0</v>
      </c>
      <c r="W297" s="5">
        <v>0</v>
      </c>
      <c r="X297" s="5"/>
    </row>
    <row r="298" spans="1:44" x14ac:dyDescent="0.25">
      <c r="A298">
        <v>1875925</v>
      </c>
      <c r="B298" t="s">
        <v>30</v>
      </c>
      <c r="C298" t="s">
        <v>627</v>
      </c>
      <c r="D298" t="s">
        <v>744</v>
      </c>
      <c r="E298" t="s">
        <v>22</v>
      </c>
      <c r="F298" t="s">
        <v>23</v>
      </c>
      <c r="G298" t="s">
        <v>24</v>
      </c>
      <c r="H298" t="s">
        <v>25</v>
      </c>
      <c r="I298" t="s">
        <v>26</v>
      </c>
      <c r="J298" s="5">
        <v>1777.153372</v>
      </c>
      <c r="K298" t="s">
        <v>27</v>
      </c>
      <c r="L298" s="5">
        <v>4737.6069052799994</v>
      </c>
      <c r="M298" t="s">
        <v>628</v>
      </c>
      <c r="N298" s="12">
        <v>0</v>
      </c>
      <c r="O298">
        <v>0</v>
      </c>
      <c r="P298" t="s">
        <v>204</v>
      </c>
      <c r="Q298" s="5">
        <v>0</v>
      </c>
      <c r="R298" s="5">
        <v>2434.7001196400001</v>
      </c>
      <c r="S298" s="10">
        <v>4026.965869487999</v>
      </c>
      <c r="T298" s="8">
        <v>0.39540085549581389</v>
      </c>
      <c r="U298" s="5">
        <v>0</v>
      </c>
      <c r="V298" s="5">
        <v>0</v>
      </c>
      <c r="W298" s="5">
        <v>0</v>
      </c>
      <c r="X298" s="5"/>
    </row>
    <row r="299" spans="1:44" x14ac:dyDescent="0.25">
      <c r="A299">
        <v>1875926</v>
      </c>
      <c r="B299" t="s">
        <v>20</v>
      </c>
      <c r="C299" t="s">
        <v>629</v>
      </c>
      <c r="D299" t="s">
        <v>744</v>
      </c>
      <c r="E299" t="s">
        <v>22</v>
      </c>
      <c r="F299" t="s">
        <v>23</v>
      </c>
      <c r="G299" t="s">
        <v>24</v>
      </c>
      <c r="H299" t="s">
        <v>25</v>
      </c>
      <c r="I299" t="s">
        <v>26</v>
      </c>
      <c r="J299" s="5">
        <v>1592.1482820000001</v>
      </c>
      <c r="K299" t="s">
        <v>27</v>
      </c>
      <c r="L299" s="5">
        <v>4244.4200814299993</v>
      </c>
      <c r="M299" t="s">
        <v>630</v>
      </c>
      <c r="N299" s="12">
        <v>0</v>
      </c>
      <c r="O299">
        <v>0</v>
      </c>
      <c r="P299" t="s">
        <v>204</v>
      </c>
      <c r="Q299" s="5">
        <v>0</v>
      </c>
      <c r="R299" s="5">
        <v>2181.2431463399998</v>
      </c>
      <c r="S299" s="10">
        <v>3607.7570692154991</v>
      </c>
      <c r="T299" s="8">
        <v>0.39540187864857868</v>
      </c>
      <c r="U299" s="5">
        <v>0</v>
      </c>
      <c r="V299" s="5">
        <v>0</v>
      </c>
      <c r="W299" s="5">
        <v>0</v>
      </c>
      <c r="X299" s="5"/>
    </row>
    <row r="300" spans="1:44" x14ac:dyDescent="0.25">
      <c r="A300">
        <v>1875927</v>
      </c>
      <c r="B300" t="s">
        <v>30</v>
      </c>
      <c r="C300" t="s">
        <v>631</v>
      </c>
      <c r="D300" t="s">
        <v>744</v>
      </c>
      <c r="E300" t="s">
        <v>22</v>
      </c>
      <c r="F300" t="s">
        <v>23</v>
      </c>
      <c r="G300" t="s">
        <v>24</v>
      </c>
      <c r="H300" t="s">
        <v>25</v>
      </c>
      <c r="I300" t="s">
        <v>26</v>
      </c>
      <c r="J300" s="5">
        <v>1113.8963180000001</v>
      </c>
      <c r="K300" t="s">
        <v>27</v>
      </c>
      <c r="L300" s="5">
        <v>2969.4794929499999</v>
      </c>
      <c r="M300" t="s">
        <v>632</v>
      </c>
      <c r="N300" s="12">
        <v>0</v>
      </c>
      <c r="O300">
        <v>0</v>
      </c>
      <c r="P300" t="s">
        <v>204</v>
      </c>
      <c r="Q300" s="5">
        <v>0</v>
      </c>
      <c r="R300" s="5">
        <v>1526.0379556600001</v>
      </c>
      <c r="S300" s="10">
        <v>2524.0575690075002</v>
      </c>
      <c r="T300" s="8">
        <v>0.39540287258183932</v>
      </c>
      <c r="U300" s="5">
        <v>0</v>
      </c>
      <c r="V300" s="5">
        <v>0</v>
      </c>
      <c r="W300" s="5">
        <v>0</v>
      </c>
      <c r="X300" s="5"/>
    </row>
    <row r="301" spans="1:44" x14ac:dyDescent="0.25">
      <c r="A301">
        <v>1875928</v>
      </c>
      <c r="B301" t="s">
        <v>20</v>
      </c>
      <c r="C301" t="s">
        <v>633</v>
      </c>
      <c r="D301" t="s">
        <v>744</v>
      </c>
      <c r="E301" t="s">
        <v>22</v>
      </c>
      <c r="F301" t="s">
        <v>23</v>
      </c>
      <c r="G301" t="s">
        <v>24</v>
      </c>
      <c r="H301" t="s">
        <v>25</v>
      </c>
      <c r="I301" t="s">
        <v>26</v>
      </c>
      <c r="J301" s="5">
        <v>2067.086722</v>
      </c>
      <c r="K301" t="s">
        <v>27</v>
      </c>
      <c r="L301" s="5">
        <v>5510.525939789999</v>
      </c>
      <c r="M301" t="s">
        <v>634</v>
      </c>
      <c r="N301" s="12">
        <v>0</v>
      </c>
      <c r="O301">
        <v>0</v>
      </c>
      <c r="P301" t="s">
        <v>204</v>
      </c>
      <c r="Q301" s="5">
        <v>0</v>
      </c>
      <c r="R301" s="5">
        <v>2831.9088091399999</v>
      </c>
      <c r="S301" s="10">
        <v>4683.9470488214993</v>
      </c>
      <c r="T301" s="8">
        <v>0.39540119057227158</v>
      </c>
      <c r="U301" s="5">
        <v>0</v>
      </c>
      <c r="V301" s="5">
        <v>0</v>
      </c>
      <c r="W301" s="5">
        <v>0</v>
      </c>
      <c r="X301" s="5"/>
    </row>
    <row r="302" spans="1:44" x14ac:dyDescent="0.25">
      <c r="A302">
        <v>1875929</v>
      </c>
      <c r="B302" t="s">
        <v>30</v>
      </c>
      <c r="C302" t="s">
        <v>635</v>
      </c>
      <c r="D302" t="s">
        <v>744</v>
      </c>
      <c r="E302" t="s">
        <v>22</v>
      </c>
      <c r="F302" t="s">
        <v>23</v>
      </c>
      <c r="G302" t="s">
        <v>24</v>
      </c>
      <c r="H302" t="s">
        <v>25</v>
      </c>
      <c r="I302" t="s">
        <v>26</v>
      </c>
      <c r="J302" s="5">
        <v>1237.0489600000001</v>
      </c>
      <c r="K302" t="s">
        <v>27</v>
      </c>
      <c r="L302" s="5">
        <v>3297.7855976999999</v>
      </c>
      <c r="M302" t="s">
        <v>636</v>
      </c>
      <c r="N302" s="12">
        <v>0</v>
      </c>
      <c r="O302">
        <v>0</v>
      </c>
      <c r="P302" t="s">
        <v>204</v>
      </c>
      <c r="Q302" s="5">
        <v>0</v>
      </c>
      <c r="R302" s="5">
        <v>1694.7570751999999</v>
      </c>
      <c r="S302" s="10">
        <v>2803.1177580449998</v>
      </c>
      <c r="T302" s="8">
        <v>0.3954028258941259</v>
      </c>
      <c r="U302" s="5">
        <v>0</v>
      </c>
      <c r="V302" s="5">
        <v>0</v>
      </c>
      <c r="W302" s="5">
        <v>0</v>
      </c>
      <c r="X302" s="5"/>
    </row>
    <row r="303" spans="1:44" x14ac:dyDescent="0.25">
      <c r="A303">
        <v>1875930</v>
      </c>
      <c r="B303" t="s">
        <v>20</v>
      </c>
      <c r="C303" t="s">
        <v>637</v>
      </c>
      <c r="D303" t="s">
        <v>744</v>
      </c>
      <c r="E303" t="s">
        <v>22</v>
      </c>
      <c r="F303" t="s">
        <v>23</v>
      </c>
      <c r="G303" t="s">
        <v>24</v>
      </c>
      <c r="H303" t="s">
        <v>25</v>
      </c>
      <c r="I303" t="s">
        <v>26</v>
      </c>
      <c r="J303" s="5">
        <v>2005.2342739999999</v>
      </c>
      <c r="K303" t="s">
        <v>27</v>
      </c>
      <c r="L303" s="5">
        <v>5345.6452206900003</v>
      </c>
      <c r="M303" t="s">
        <v>638</v>
      </c>
      <c r="N303" s="12">
        <v>0</v>
      </c>
      <c r="O303">
        <v>0</v>
      </c>
      <c r="P303" t="s">
        <v>204</v>
      </c>
      <c r="Q303" s="5">
        <v>0</v>
      </c>
      <c r="R303" s="5">
        <v>2747.170955380001</v>
      </c>
      <c r="S303" s="10">
        <v>4543.7984375864999</v>
      </c>
      <c r="T303" s="8">
        <v>0.39540210836482492</v>
      </c>
      <c r="U303" s="5">
        <v>0</v>
      </c>
      <c r="V303" s="5">
        <v>0</v>
      </c>
      <c r="W303" s="5">
        <v>0</v>
      </c>
      <c r="X303" s="5"/>
    </row>
    <row r="304" spans="1:44" x14ac:dyDescent="0.25">
      <c r="A304">
        <v>1863158</v>
      </c>
      <c r="B304" t="s">
        <v>252</v>
      </c>
      <c r="C304" t="s">
        <v>639</v>
      </c>
      <c r="D304" t="s">
        <v>744</v>
      </c>
      <c r="E304" t="s">
        <v>22</v>
      </c>
      <c r="F304" t="s">
        <v>23</v>
      </c>
      <c r="G304" t="s">
        <v>24</v>
      </c>
      <c r="H304" t="s">
        <v>25</v>
      </c>
      <c r="I304" t="s">
        <v>26</v>
      </c>
      <c r="J304" s="5">
        <v>2360.3335959999999</v>
      </c>
      <c r="K304" t="s">
        <v>27</v>
      </c>
      <c r="L304" s="5">
        <v>6293.1186613500004</v>
      </c>
      <c r="M304" t="s">
        <v>640</v>
      </c>
      <c r="N304" s="12">
        <v>0</v>
      </c>
      <c r="O304">
        <v>0</v>
      </c>
      <c r="P304" t="s">
        <v>204</v>
      </c>
      <c r="Q304" s="5">
        <v>0</v>
      </c>
      <c r="R304" s="5">
        <v>3233.6570265199998</v>
      </c>
      <c r="S304" s="10">
        <v>5349.1508621475004</v>
      </c>
      <c r="T304" s="8">
        <v>0.39548217841405242</v>
      </c>
      <c r="U304" s="5">
        <v>0</v>
      </c>
      <c r="V304" s="5">
        <v>0</v>
      </c>
      <c r="W304" s="5">
        <v>11365.05</v>
      </c>
      <c r="X304" s="8">
        <f t="shared" ref="X304:X312" si="78">1-(S304/W304)</f>
        <v>0.52933327507160111</v>
      </c>
      <c r="AB304">
        <f t="shared" ref="AB304:AB312" si="79">A304</f>
        <v>1863158</v>
      </c>
      <c r="AC304">
        <f t="shared" ref="AC304:AC312" si="80">IFERROR(IF(OR(NOT(ISNUMBER(S304)),NOT(ISNUMBER(W304))),"",IF(OR(S304&lt;=0,W304&lt;=0),"",(1-S304/W304)*100)),"")</f>
        <v>52.933327507160108</v>
      </c>
      <c r="AD304">
        <f t="shared" ref="AD304:AD312" si="81">IF(AC304="","",(MAX(S304,W304)/MIN(S304,W304)-1)*100)</f>
        <v>112.46456293508467</v>
      </c>
      <c r="AE304">
        <f t="shared" ref="AE304:AE312" si="82">IF(AC304="","",ABS(W304-S304))</f>
        <v>6015.8991378524988</v>
      </c>
      <c r="AF304">
        <f>IF(AC304="","",IF(AND(AE304&lt;MAX(Расч!$B$11,S304*Расч!$B$12),IF(AD304&lt;Расч!$B$7,0,IF(AD304&lt;Расч!$B$8,1,IF(AD304&lt;Расч!$B$9,2,IF(AD304&lt;Расч!$B$10,3,4))))&gt;1),1,IF(AD304&lt;Расч!$B$7,0,IF(AD304&lt;Расч!$B$8,1,IF(AD304&lt;Расч!$B$9,2,IF(AD304&lt;Расч!$B$10,3,4))))))</f>
        <v>4</v>
      </c>
      <c r="AK304">
        <f t="shared" ref="AK304:AK312" si="83">IF(AC304="","",AC304)</f>
        <v>52.933327507160108</v>
      </c>
      <c r="AL304">
        <f t="shared" ref="AL304:AL312" si="84">IF(AE304="","",AE304)</f>
        <v>6015.8991378524988</v>
      </c>
      <c r="AM304">
        <f t="shared" ref="AM304:AM312" si="85">IF(AF304="","",AF304)</f>
        <v>4</v>
      </c>
      <c r="AN304" t="str">
        <f t="shared" ref="AN304:AN312" si="86">IF(AM304="","нет данных",CHOOSE(AM304+1,"Норма","Лёгкое отклонение","Заметный разброс","Выброс","Экстремальный выброс"))</f>
        <v>Экстремальный выброс</v>
      </c>
      <c r="AO304">
        <f t="shared" ref="AO304:AO312" si="87">IF(OR(AC304="",NOT(ISNUMBER(N304))),0,MAX(N304,0))</f>
        <v>0</v>
      </c>
      <c r="AP304">
        <f t="shared" ref="AP304:AP312" si="88">IF(AC304="",0,AC304*AO304)</f>
        <v>0</v>
      </c>
      <c r="AQ304">
        <f t="shared" ref="AQ304:AQ312" si="89">IF(OR(AC304="",NOT(ISNUMBER(O304))),0,MAX(O304,0)*S304)</f>
        <v>0</v>
      </c>
      <c r="AR304">
        <f t="shared" ref="AR304:AR312" si="90">IF(AC304="",0,AC304*AQ304)</f>
        <v>0</v>
      </c>
    </row>
    <row r="305" spans="1:44" x14ac:dyDescent="0.25">
      <c r="A305">
        <v>1863163</v>
      </c>
      <c r="B305" t="s">
        <v>20</v>
      </c>
      <c r="C305" t="s">
        <v>641</v>
      </c>
      <c r="D305" t="s">
        <v>744</v>
      </c>
      <c r="E305" t="s">
        <v>22</v>
      </c>
      <c r="F305" t="s">
        <v>23</v>
      </c>
      <c r="G305" t="s">
        <v>24</v>
      </c>
      <c r="H305" t="s">
        <v>25</v>
      </c>
      <c r="I305" t="s">
        <v>26</v>
      </c>
      <c r="J305" s="5">
        <v>3023.5906500000001</v>
      </c>
      <c r="K305" t="s">
        <v>27</v>
      </c>
      <c r="L305" s="5">
        <v>5686.7411382299997</v>
      </c>
      <c r="M305" t="s">
        <v>642</v>
      </c>
      <c r="N305" s="12">
        <v>0</v>
      </c>
      <c r="O305">
        <v>2</v>
      </c>
      <c r="P305" t="s">
        <v>204</v>
      </c>
      <c r="Q305" s="5">
        <v>4425</v>
      </c>
      <c r="R305" s="5">
        <v>4142.3191905000003</v>
      </c>
      <c r="S305" s="10">
        <v>4833.7299674954993</v>
      </c>
      <c r="T305" s="8">
        <v>0.1212065985140376</v>
      </c>
      <c r="U305" s="5">
        <v>0</v>
      </c>
      <c r="V305" s="5">
        <v>0</v>
      </c>
      <c r="W305" s="5">
        <v>7058.84</v>
      </c>
      <c r="X305" s="8">
        <f t="shared" si="78"/>
        <v>0.31522318575070418</v>
      </c>
      <c r="AB305">
        <f t="shared" si="79"/>
        <v>1863163</v>
      </c>
      <c r="AC305">
        <f t="shared" si="80"/>
        <v>31.522318575070418</v>
      </c>
      <c r="AD305">
        <f t="shared" si="81"/>
        <v>46.032981723581834</v>
      </c>
      <c r="AE305">
        <f t="shared" si="82"/>
        <v>2225.1100325045009</v>
      </c>
      <c r="AF305">
        <f>IF(AC305="","",IF(AND(AE305&lt;MAX(Расч!$B$11,S305*Расч!$B$12),IF(AD305&lt;Расч!$B$7,0,IF(AD305&lt;Расч!$B$8,1,IF(AD305&lt;Расч!$B$9,2,IF(AD305&lt;Расч!$B$10,3,4))))&gt;1),1,IF(AD305&lt;Расч!$B$7,0,IF(AD305&lt;Расч!$B$8,1,IF(AD305&lt;Расч!$B$9,2,IF(AD305&lt;Расч!$B$10,3,4))))))</f>
        <v>2</v>
      </c>
      <c r="AK305">
        <f t="shared" si="83"/>
        <v>31.522318575070418</v>
      </c>
      <c r="AL305">
        <f t="shared" si="84"/>
        <v>2225.1100325045009</v>
      </c>
      <c r="AM305">
        <f t="shared" si="85"/>
        <v>2</v>
      </c>
      <c r="AN305" t="str">
        <f t="shared" si="86"/>
        <v>Заметный разброс</v>
      </c>
      <c r="AO305">
        <f t="shared" si="87"/>
        <v>0</v>
      </c>
      <c r="AP305">
        <f t="shared" si="88"/>
        <v>0</v>
      </c>
      <c r="AQ305">
        <f t="shared" si="89"/>
        <v>9667.4599349909986</v>
      </c>
      <c r="AR305">
        <f t="shared" si="90"/>
        <v>304740.75188251579</v>
      </c>
    </row>
    <row r="306" spans="1:44" x14ac:dyDescent="0.25">
      <c r="A306">
        <v>1863157</v>
      </c>
      <c r="B306" t="s">
        <v>294</v>
      </c>
      <c r="C306" t="s">
        <v>643</v>
      </c>
      <c r="D306" t="s">
        <v>744</v>
      </c>
      <c r="E306" t="s">
        <v>22</v>
      </c>
      <c r="F306" t="s">
        <v>23</v>
      </c>
      <c r="G306" t="s">
        <v>24</v>
      </c>
      <c r="H306" t="s">
        <v>25</v>
      </c>
      <c r="I306" t="s">
        <v>26</v>
      </c>
      <c r="J306" s="5">
        <v>1884.2906479999999</v>
      </c>
      <c r="K306" t="s">
        <v>27</v>
      </c>
      <c r="L306" s="5">
        <v>5202.0466131000003</v>
      </c>
      <c r="M306" t="s">
        <v>644</v>
      </c>
      <c r="N306" s="12">
        <v>0</v>
      </c>
      <c r="O306">
        <v>0</v>
      </c>
      <c r="P306" t="s">
        <v>204</v>
      </c>
      <c r="Q306" s="5">
        <v>0</v>
      </c>
      <c r="R306" s="5">
        <v>2581.4781877599999</v>
      </c>
      <c r="S306" s="10">
        <v>4421.7396211350006</v>
      </c>
      <c r="T306" s="8">
        <v>0.41618493874649037</v>
      </c>
      <c r="U306" s="5">
        <v>0</v>
      </c>
      <c r="V306" s="5">
        <v>0</v>
      </c>
      <c r="W306" s="5">
        <v>8489.2900000000009</v>
      </c>
      <c r="X306" s="8">
        <f t="shared" si="78"/>
        <v>0.47913905389791134</v>
      </c>
      <c r="AB306">
        <f t="shared" si="79"/>
        <v>1863157</v>
      </c>
      <c r="AC306">
        <f t="shared" si="80"/>
        <v>47.913905389791132</v>
      </c>
      <c r="AD306">
        <f t="shared" si="81"/>
        <v>91.989821368561621</v>
      </c>
      <c r="AE306">
        <f t="shared" si="82"/>
        <v>4067.5503788650003</v>
      </c>
      <c r="AF306">
        <f>IF(AC306="","",IF(AND(AE306&lt;MAX(Расч!$B$11,S306*Расч!$B$12),IF(AD306&lt;Расч!$B$7,0,IF(AD306&lt;Расч!$B$8,1,IF(AD306&lt;Расч!$B$9,2,IF(AD306&lt;Расч!$B$10,3,4))))&gt;1),1,IF(AD306&lt;Расч!$B$7,0,IF(AD306&lt;Расч!$B$8,1,IF(AD306&lt;Расч!$B$9,2,IF(AD306&lt;Расч!$B$10,3,4))))))</f>
        <v>4</v>
      </c>
      <c r="AK306">
        <f t="shared" si="83"/>
        <v>47.913905389791132</v>
      </c>
      <c r="AL306">
        <f t="shared" si="84"/>
        <v>4067.5503788650003</v>
      </c>
      <c r="AM306">
        <f t="shared" si="85"/>
        <v>4</v>
      </c>
      <c r="AN306" t="str">
        <f t="shared" si="86"/>
        <v>Экстремальный выброс</v>
      </c>
      <c r="AO306">
        <f t="shared" si="87"/>
        <v>0</v>
      </c>
      <c r="AP306">
        <f t="shared" si="88"/>
        <v>0</v>
      </c>
      <c r="AQ306">
        <f t="shared" si="89"/>
        <v>0</v>
      </c>
      <c r="AR306">
        <f t="shared" si="90"/>
        <v>0</v>
      </c>
    </row>
    <row r="307" spans="1:44" x14ac:dyDescent="0.25">
      <c r="A307">
        <v>163764</v>
      </c>
      <c r="B307" t="s">
        <v>30</v>
      </c>
      <c r="C307" t="s">
        <v>645</v>
      </c>
      <c r="D307" t="s">
        <v>809</v>
      </c>
      <c r="E307" t="s">
        <v>22</v>
      </c>
      <c r="F307" t="s">
        <v>23</v>
      </c>
      <c r="G307" t="s">
        <v>24</v>
      </c>
      <c r="H307" t="s">
        <v>25</v>
      </c>
      <c r="I307" t="s">
        <v>26</v>
      </c>
      <c r="J307" s="5">
        <v>1375.1124600000001</v>
      </c>
      <c r="K307" t="s">
        <v>27</v>
      </c>
      <c r="L307" s="5">
        <v>4414.3174205399991</v>
      </c>
      <c r="M307" t="s">
        <v>646</v>
      </c>
      <c r="N307" s="12">
        <v>0</v>
      </c>
      <c r="O307">
        <v>0</v>
      </c>
      <c r="P307" t="s">
        <v>204</v>
      </c>
      <c r="Q307" s="5">
        <v>0</v>
      </c>
      <c r="R307" s="5">
        <v>1883.9040702</v>
      </c>
      <c r="S307" s="10">
        <v>3752.169807458999</v>
      </c>
      <c r="T307" s="8">
        <v>0.49791609472072479</v>
      </c>
      <c r="U307" s="5">
        <v>0</v>
      </c>
      <c r="V307" s="5">
        <v>0</v>
      </c>
      <c r="W307" s="5">
        <v>3367.46</v>
      </c>
      <c r="X307" s="8">
        <f t="shared" si="78"/>
        <v>-0.11424331913638142</v>
      </c>
      <c r="AB307">
        <f t="shared" si="79"/>
        <v>163764</v>
      </c>
      <c r="AC307">
        <f t="shared" si="80"/>
        <v>-11.424331913638142</v>
      </c>
      <c r="AD307">
        <f t="shared" si="81"/>
        <v>11.424331913638142</v>
      </c>
      <c r="AE307">
        <f t="shared" si="82"/>
        <v>384.70980745899897</v>
      </c>
      <c r="AF307">
        <f>IF(AC307="","",IF(AND(AE307&lt;MAX(Расч!$B$11,S307*Расч!$B$12),IF(AD307&lt;Расч!$B$7,0,IF(AD307&lt;Расч!$B$8,1,IF(AD307&lt;Расч!$B$9,2,IF(AD307&lt;Расч!$B$10,3,4))))&gt;1),1,IF(AD307&lt;Расч!$B$7,0,IF(AD307&lt;Расч!$B$8,1,IF(AD307&lt;Расч!$B$9,2,IF(AD307&lt;Расч!$B$10,3,4))))))</f>
        <v>0</v>
      </c>
      <c r="AK307">
        <f t="shared" si="83"/>
        <v>-11.424331913638142</v>
      </c>
      <c r="AL307">
        <f t="shared" si="84"/>
        <v>384.70980745899897</v>
      </c>
      <c r="AM307">
        <f t="shared" si="85"/>
        <v>0</v>
      </c>
      <c r="AN307" t="str">
        <f t="shared" si="86"/>
        <v>Норма</v>
      </c>
      <c r="AO307">
        <f t="shared" si="87"/>
        <v>0</v>
      </c>
      <c r="AP307">
        <f t="shared" si="88"/>
        <v>0</v>
      </c>
      <c r="AQ307">
        <f t="shared" si="89"/>
        <v>0</v>
      </c>
      <c r="AR307">
        <f t="shared" si="90"/>
        <v>0</v>
      </c>
    </row>
    <row r="308" spans="1:44" x14ac:dyDescent="0.25">
      <c r="A308">
        <v>1863159</v>
      </c>
      <c r="B308" t="s">
        <v>20</v>
      </c>
      <c r="C308" t="s">
        <v>647</v>
      </c>
      <c r="D308" t="s">
        <v>744</v>
      </c>
      <c r="E308" t="s">
        <v>22</v>
      </c>
      <c r="F308" t="s">
        <v>23</v>
      </c>
      <c r="G308" t="s">
        <v>24</v>
      </c>
      <c r="H308" t="s">
        <v>25</v>
      </c>
      <c r="I308" t="s">
        <v>26</v>
      </c>
      <c r="J308" s="5">
        <v>3027.456428</v>
      </c>
      <c r="K308" t="s">
        <v>27</v>
      </c>
      <c r="L308" s="5">
        <v>5722.8847724999996</v>
      </c>
      <c r="M308" t="s">
        <v>648</v>
      </c>
      <c r="N308" s="12">
        <v>0</v>
      </c>
      <c r="O308">
        <v>2</v>
      </c>
      <c r="P308" t="s">
        <v>204</v>
      </c>
      <c r="Q308" s="5">
        <v>4431</v>
      </c>
      <c r="R308" s="5">
        <v>4147.6153063600004</v>
      </c>
      <c r="S308" s="10">
        <v>4864.4520566249994</v>
      </c>
      <c r="T308" s="8">
        <v>0.12566103016525679</v>
      </c>
      <c r="U308" s="5">
        <v>0</v>
      </c>
      <c r="V308" s="5">
        <v>0</v>
      </c>
      <c r="W308" s="5">
        <v>5675.5</v>
      </c>
      <c r="X308" s="8">
        <f t="shared" si="78"/>
        <v>0.14290334655536963</v>
      </c>
      <c r="AB308">
        <f t="shared" si="79"/>
        <v>1863159</v>
      </c>
      <c r="AC308">
        <f t="shared" si="80"/>
        <v>14.290334655536963</v>
      </c>
      <c r="AD308">
        <f t="shared" si="81"/>
        <v>16.672955842383463</v>
      </c>
      <c r="AE308">
        <f t="shared" si="82"/>
        <v>811.04794337500061</v>
      </c>
      <c r="AF308">
        <f>IF(AC308="","",IF(AND(AE308&lt;MAX(Расч!$B$11,S308*Расч!$B$12),IF(AD308&lt;Расч!$B$7,0,IF(AD308&lt;Расч!$B$8,1,IF(AD308&lt;Расч!$B$9,2,IF(AD308&lt;Расч!$B$10,3,4))))&gt;1),1,IF(AD308&lt;Расч!$B$7,0,IF(AD308&lt;Расч!$B$8,1,IF(AD308&lt;Расч!$B$9,2,IF(AD308&lt;Расч!$B$10,3,4))))))</f>
        <v>0</v>
      </c>
      <c r="AK308">
        <f t="shared" si="83"/>
        <v>14.290334655536963</v>
      </c>
      <c r="AL308">
        <f t="shared" si="84"/>
        <v>811.04794337500061</v>
      </c>
      <c r="AM308">
        <f t="shared" si="85"/>
        <v>0</v>
      </c>
      <c r="AN308" t="str">
        <f t="shared" si="86"/>
        <v>Норма</v>
      </c>
      <c r="AO308">
        <f t="shared" si="87"/>
        <v>0</v>
      </c>
      <c r="AP308">
        <f t="shared" si="88"/>
        <v>0</v>
      </c>
      <c r="AQ308">
        <f t="shared" si="89"/>
        <v>9728.9041132499988</v>
      </c>
      <c r="AR308">
        <f t="shared" si="90"/>
        <v>139029.29560997256</v>
      </c>
    </row>
    <row r="309" spans="1:44" x14ac:dyDescent="0.25">
      <c r="A309">
        <v>1863171</v>
      </c>
      <c r="B309" t="s">
        <v>20</v>
      </c>
      <c r="C309" t="s">
        <v>649</v>
      </c>
      <c r="D309" t="s">
        <v>744</v>
      </c>
      <c r="E309" t="s">
        <v>22</v>
      </c>
      <c r="F309" t="s">
        <v>23</v>
      </c>
      <c r="G309" t="s">
        <v>24</v>
      </c>
      <c r="H309" t="s">
        <v>25</v>
      </c>
      <c r="I309" t="s">
        <v>26</v>
      </c>
      <c r="J309" s="5">
        <v>3283.702284</v>
      </c>
      <c r="K309" t="s">
        <v>27</v>
      </c>
      <c r="L309" s="5">
        <v>9542.2276355400008</v>
      </c>
      <c r="M309" t="s">
        <v>650</v>
      </c>
      <c r="N309" s="12">
        <v>0</v>
      </c>
      <c r="O309">
        <v>0</v>
      </c>
      <c r="P309" t="s">
        <v>204</v>
      </c>
      <c r="Q309" s="5">
        <v>0</v>
      </c>
      <c r="R309" s="5">
        <v>4498.6721290800006</v>
      </c>
      <c r="S309" s="10">
        <v>8110.8934902090004</v>
      </c>
      <c r="T309" s="8">
        <v>0.44535430843586632</v>
      </c>
      <c r="U309" s="5">
        <v>0</v>
      </c>
      <c r="V309" s="5">
        <v>0</v>
      </c>
      <c r="W309" s="5">
        <v>8550.7000000000007</v>
      </c>
      <c r="X309" s="8">
        <f t="shared" si="78"/>
        <v>5.1435146805641652E-2</v>
      </c>
      <c r="AB309">
        <f t="shared" si="79"/>
        <v>1863171</v>
      </c>
      <c r="AC309">
        <f t="shared" si="80"/>
        <v>5.1435146805641647</v>
      </c>
      <c r="AD309">
        <f t="shared" si="81"/>
        <v>5.4224175218415827</v>
      </c>
      <c r="AE309">
        <f t="shared" si="82"/>
        <v>439.80650979100028</v>
      </c>
      <c r="AF309">
        <f>IF(AC309="","",IF(AND(AE309&lt;MAX(Расч!$B$11,S309*Расч!$B$12),IF(AD309&lt;Расч!$B$7,0,IF(AD309&lt;Расч!$B$8,1,IF(AD309&lt;Расч!$B$9,2,IF(AD309&lt;Расч!$B$10,3,4))))&gt;1),1,IF(AD309&lt;Расч!$B$7,0,IF(AD309&lt;Расч!$B$8,1,IF(AD309&lt;Расч!$B$9,2,IF(AD309&lt;Расч!$B$10,3,4))))))</f>
        <v>0</v>
      </c>
      <c r="AK309">
        <f t="shared" si="83"/>
        <v>5.1435146805641647</v>
      </c>
      <c r="AL309">
        <f t="shared" si="84"/>
        <v>439.80650979100028</v>
      </c>
      <c r="AM309">
        <f t="shared" si="85"/>
        <v>0</v>
      </c>
      <c r="AN309" t="str">
        <f t="shared" si="86"/>
        <v>Норма</v>
      </c>
      <c r="AO309">
        <f t="shared" si="87"/>
        <v>0</v>
      </c>
      <c r="AP309">
        <f t="shared" si="88"/>
        <v>0</v>
      </c>
      <c r="AQ309">
        <f t="shared" si="89"/>
        <v>0</v>
      </c>
      <c r="AR309">
        <f t="shared" si="90"/>
        <v>0</v>
      </c>
    </row>
    <row r="310" spans="1:44" x14ac:dyDescent="0.25">
      <c r="A310">
        <v>1863168</v>
      </c>
      <c r="B310" t="s">
        <v>252</v>
      </c>
      <c r="C310" t="s">
        <v>651</v>
      </c>
      <c r="D310" t="s">
        <v>744</v>
      </c>
      <c r="E310" t="s">
        <v>22</v>
      </c>
      <c r="F310" t="s">
        <v>23</v>
      </c>
      <c r="G310" t="s">
        <v>24</v>
      </c>
      <c r="H310" t="s">
        <v>25</v>
      </c>
      <c r="I310" t="s">
        <v>26</v>
      </c>
      <c r="J310" s="5">
        <v>2190.7916180000002</v>
      </c>
      <c r="K310" t="s">
        <v>27</v>
      </c>
      <c r="L310" s="5">
        <v>3975.902499119999</v>
      </c>
      <c r="M310" t="s">
        <v>652</v>
      </c>
      <c r="N310" s="12">
        <v>0</v>
      </c>
      <c r="O310">
        <v>2</v>
      </c>
      <c r="P310" t="s">
        <v>204</v>
      </c>
      <c r="Q310" s="5">
        <v>3206</v>
      </c>
      <c r="R310" s="5">
        <v>3001.3845166599999</v>
      </c>
      <c r="S310" s="10">
        <v>3379.517124252</v>
      </c>
      <c r="T310" s="8">
        <v>8.9294450407258141E-2</v>
      </c>
      <c r="U310" s="5">
        <v>0</v>
      </c>
      <c r="V310" s="5">
        <v>0</v>
      </c>
      <c r="W310" s="5">
        <v>3871.39</v>
      </c>
      <c r="X310" s="8">
        <f t="shared" si="78"/>
        <v>0.12705330017073968</v>
      </c>
      <c r="AB310">
        <f t="shared" si="79"/>
        <v>1863168</v>
      </c>
      <c r="AC310">
        <f t="shared" si="80"/>
        <v>12.705330017073969</v>
      </c>
      <c r="AD310">
        <f t="shared" si="81"/>
        <v>14.554531244071377</v>
      </c>
      <c r="AE310">
        <f t="shared" si="82"/>
        <v>491.87287574799984</v>
      </c>
      <c r="AF310">
        <f>IF(AC310="","",IF(AND(AE310&lt;MAX(Расч!$B$11,S310*Расч!$B$12),IF(AD310&lt;Расч!$B$7,0,IF(AD310&lt;Расч!$B$8,1,IF(AD310&lt;Расч!$B$9,2,IF(AD310&lt;Расч!$B$10,3,4))))&gt;1),1,IF(AD310&lt;Расч!$B$7,0,IF(AD310&lt;Расч!$B$8,1,IF(AD310&lt;Расч!$B$9,2,IF(AD310&lt;Расч!$B$10,3,4))))))</f>
        <v>0</v>
      </c>
      <c r="AK310">
        <f t="shared" si="83"/>
        <v>12.705330017073969</v>
      </c>
      <c r="AL310">
        <f t="shared" si="84"/>
        <v>491.87287574799984</v>
      </c>
      <c r="AM310">
        <f t="shared" si="85"/>
        <v>0</v>
      </c>
      <c r="AN310" t="str">
        <f t="shared" si="86"/>
        <v>Норма</v>
      </c>
      <c r="AO310">
        <f t="shared" si="87"/>
        <v>0</v>
      </c>
      <c r="AP310">
        <f t="shared" si="88"/>
        <v>0</v>
      </c>
      <c r="AQ310">
        <f t="shared" si="89"/>
        <v>6759.0342485040001</v>
      </c>
      <c r="AR310">
        <f t="shared" si="90"/>
        <v>85875.760723948872</v>
      </c>
    </row>
    <row r="311" spans="1:44" x14ac:dyDescent="0.25">
      <c r="A311">
        <v>1863169</v>
      </c>
      <c r="B311" t="s">
        <v>294</v>
      </c>
      <c r="C311" t="s">
        <v>653</v>
      </c>
      <c r="D311" t="s">
        <v>744</v>
      </c>
      <c r="E311" t="s">
        <v>22</v>
      </c>
      <c r="F311" t="s">
        <v>23</v>
      </c>
      <c r="G311" t="s">
        <v>24</v>
      </c>
      <c r="H311" t="s">
        <v>25</v>
      </c>
      <c r="I311" t="s">
        <v>26</v>
      </c>
      <c r="J311" s="5">
        <v>1976.5170660000001</v>
      </c>
      <c r="K311" t="s">
        <v>27</v>
      </c>
      <c r="L311" s="5">
        <v>3879.5251815900001</v>
      </c>
      <c r="M311" t="s">
        <v>654</v>
      </c>
      <c r="N311" s="12">
        <v>0</v>
      </c>
      <c r="O311">
        <v>4</v>
      </c>
      <c r="P311" t="s">
        <v>204</v>
      </c>
      <c r="Q311" s="5">
        <v>2893</v>
      </c>
      <c r="R311" s="5">
        <v>2707.82838042</v>
      </c>
      <c r="S311" s="10">
        <v>3297.5964043515</v>
      </c>
      <c r="T311" s="8">
        <v>0.15789345951021369</v>
      </c>
      <c r="U311" s="5">
        <v>0</v>
      </c>
      <c r="V311" s="5">
        <v>0</v>
      </c>
      <c r="W311" s="5">
        <v>5962.35</v>
      </c>
      <c r="X311" s="8">
        <f t="shared" si="78"/>
        <v>0.44693008556164937</v>
      </c>
      <c r="AB311">
        <f t="shared" si="79"/>
        <v>1863169</v>
      </c>
      <c r="AC311">
        <f t="shared" si="80"/>
        <v>44.693008556164941</v>
      </c>
      <c r="AD311">
        <f t="shared" si="81"/>
        <v>80.80896716566339</v>
      </c>
      <c r="AE311">
        <f t="shared" si="82"/>
        <v>2664.7535956485003</v>
      </c>
      <c r="AF311">
        <f>IF(AC311="","",IF(AND(AE311&lt;MAX(Расч!$B$11,S311*Расч!$B$12),IF(AD311&lt;Расч!$B$7,0,IF(AD311&lt;Расч!$B$8,1,IF(AD311&lt;Расч!$B$9,2,IF(AD311&lt;Расч!$B$10,3,4))))&gt;1),1,IF(AD311&lt;Расч!$B$7,0,IF(AD311&lt;Расч!$B$8,1,IF(AD311&lt;Расч!$B$9,2,IF(AD311&lt;Расч!$B$10,3,4))))))</f>
        <v>4</v>
      </c>
      <c r="AK311">
        <f t="shared" si="83"/>
        <v>44.693008556164941</v>
      </c>
      <c r="AL311">
        <f t="shared" si="84"/>
        <v>2664.7535956485003</v>
      </c>
      <c r="AM311">
        <f t="shared" si="85"/>
        <v>4</v>
      </c>
      <c r="AN311" t="str">
        <f t="shared" si="86"/>
        <v>Экстремальный выброс</v>
      </c>
      <c r="AO311">
        <f t="shared" si="87"/>
        <v>0</v>
      </c>
      <c r="AP311">
        <f t="shared" si="88"/>
        <v>0</v>
      </c>
      <c r="AQ311">
        <f t="shared" si="89"/>
        <v>13190.385617406</v>
      </c>
      <c r="AR311">
        <f t="shared" si="90"/>
        <v>589518.0172578413</v>
      </c>
    </row>
    <row r="312" spans="1:44" x14ac:dyDescent="0.25">
      <c r="A312">
        <v>1863170</v>
      </c>
      <c r="B312" t="s">
        <v>20</v>
      </c>
      <c r="C312" t="s">
        <v>655</v>
      </c>
      <c r="D312" t="s">
        <v>744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s="5">
        <v>4788.5944340000005</v>
      </c>
      <c r="K312" t="s">
        <v>27</v>
      </c>
      <c r="L312" s="5">
        <v>9216.8664408299992</v>
      </c>
      <c r="M312" t="s">
        <v>656</v>
      </c>
      <c r="N312" s="12">
        <v>0</v>
      </c>
      <c r="O312">
        <v>2</v>
      </c>
      <c r="P312" t="s">
        <v>204</v>
      </c>
      <c r="Q312" s="5">
        <v>7009</v>
      </c>
      <c r="R312" s="5">
        <v>6560.3743745800011</v>
      </c>
      <c r="S312" s="10">
        <v>7834.3364747054993</v>
      </c>
      <c r="T312" s="8">
        <v>0.14127826629339479</v>
      </c>
      <c r="U312" s="5">
        <v>0</v>
      </c>
      <c r="V312" s="5">
        <v>0</v>
      </c>
      <c r="W312" s="5">
        <v>6704.5</v>
      </c>
      <c r="X312" s="8">
        <f t="shared" si="78"/>
        <v>-0.16851912517048251</v>
      </c>
      <c r="AB312">
        <f t="shared" si="79"/>
        <v>1863170</v>
      </c>
      <c r="AC312">
        <f t="shared" si="80"/>
        <v>-16.851912517048252</v>
      </c>
      <c r="AD312">
        <f t="shared" si="81"/>
        <v>16.851912517048252</v>
      </c>
      <c r="AE312">
        <f t="shared" si="82"/>
        <v>1129.8364747054993</v>
      </c>
      <c r="AF312">
        <f>IF(AC312="","",IF(AND(AE312&lt;MAX(Расч!$B$11,S312*Расч!$B$12),IF(AD312&lt;Расч!$B$7,0,IF(AD312&lt;Расч!$B$8,1,IF(AD312&lt;Расч!$B$9,2,IF(AD312&lt;Расч!$B$10,3,4))))&gt;1),1,IF(AD312&lt;Расч!$B$7,0,IF(AD312&lt;Расч!$B$8,1,IF(AD312&lt;Расч!$B$9,2,IF(AD312&lt;Расч!$B$10,3,4))))))</f>
        <v>0</v>
      </c>
      <c r="AK312">
        <f t="shared" si="83"/>
        <v>-16.851912517048252</v>
      </c>
      <c r="AL312">
        <f t="shared" si="84"/>
        <v>1129.8364747054993</v>
      </c>
      <c r="AM312">
        <f t="shared" si="85"/>
        <v>0</v>
      </c>
      <c r="AN312" t="str">
        <f t="shared" si="86"/>
        <v>Норма</v>
      </c>
      <c r="AO312">
        <f t="shared" si="87"/>
        <v>0</v>
      </c>
      <c r="AP312">
        <f t="shared" si="88"/>
        <v>0</v>
      </c>
      <c r="AQ312">
        <f t="shared" si="89"/>
        <v>15668.672949410999</v>
      </c>
      <c r="AR312">
        <f t="shared" si="90"/>
        <v>-264047.10580171458</v>
      </c>
    </row>
    <row r="313" spans="1:44" x14ac:dyDescent="0.25">
      <c r="A313">
        <v>1863167</v>
      </c>
      <c r="B313" t="s">
        <v>20</v>
      </c>
      <c r="C313" t="s">
        <v>657</v>
      </c>
      <c r="D313" t="s">
        <v>744</v>
      </c>
      <c r="E313" t="s">
        <v>22</v>
      </c>
      <c r="F313" t="s">
        <v>23</v>
      </c>
      <c r="G313" t="s">
        <v>24</v>
      </c>
      <c r="H313" t="s">
        <v>25</v>
      </c>
      <c r="I313" t="s">
        <v>26</v>
      </c>
      <c r="J313" s="5">
        <v>5410.4324379999998</v>
      </c>
      <c r="K313" t="s">
        <v>27</v>
      </c>
      <c r="L313" s="5">
        <v>15722.395299600001</v>
      </c>
      <c r="M313" t="s">
        <v>658</v>
      </c>
      <c r="N313" s="12">
        <v>0</v>
      </c>
      <c r="O313">
        <v>0</v>
      </c>
      <c r="P313" t="s">
        <v>204</v>
      </c>
      <c r="Q313" s="5">
        <v>0</v>
      </c>
      <c r="R313" s="5">
        <v>7412.2924400600004</v>
      </c>
      <c r="S313" s="10">
        <v>13364.03600466</v>
      </c>
      <c r="T313" s="8">
        <v>0.44535524766056023</v>
      </c>
      <c r="U313" s="5">
        <v>0</v>
      </c>
      <c r="V313" s="5">
        <v>0</v>
      </c>
      <c r="W313" s="5">
        <v>0</v>
      </c>
      <c r="X313" s="5"/>
    </row>
    <row r="314" spans="1:44" x14ac:dyDescent="0.25">
      <c r="A314">
        <v>1863164</v>
      </c>
      <c r="B314" t="s">
        <v>20</v>
      </c>
      <c r="C314" t="s">
        <v>659</v>
      </c>
      <c r="D314" t="s">
        <v>744</v>
      </c>
      <c r="E314" t="s">
        <v>22</v>
      </c>
      <c r="F314" t="s">
        <v>23</v>
      </c>
      <c r="G314" t="s">
        <v>24</v>
      </c>
      <c r="H314" t="s">
        <v>25</v>
      </c>
      <c r="I314" t="s">
        <v>26</v>
      </c>
      <c r="J314" s="5">
        <v>3308.00146</v>
      </c>
      <c r="K314" t="s">
        <v>27</v>
      </c>
      <c r="L314" s="5">
        <v>6251.8043129400003</v>
      </c>
      <c r="M314" t="s">
        <v>660</v>
      </c>
      <c r="N314" s="12">
        <v>0</v>
      </c>
      <c r="O314">
        <v>4</v>
      </c>
      <c r="P314" t="s">
        <v>204</v>
      </c>
      <c r="Q314" s="5">
        <v>4842</v>
      </c>
      <c r="R314" s="5">
        <v>4531.9620002000001</v>
      </c>
      <c r="S314" s="10">
        <v>5314.0336659989998</v>
      </c>
      <c r="T314" s="8">
        <v>0.12541813016039799</v>
      </c>
      <c r="U314" s="5">
        <v>0</v>
      </c>
      <c r="V314" s="5">
        <v>0</v>
      </c>
      <c r="W314" s="5">
        <v>0</v>
      </c>
    </row>
    <row r="315" spans="1:44" x14ac:dyDescent="0.25">
      <c r="A315">
        <v>1863165</v>
      </c>
      <c r="B315" t="s">
        <v>30</v>
      </c>
      <c r="C315" t="s">
        <v>661</v>
      </c>
      <c r="D315" t="s">
        <v>744</v>
      </c>
      <c r="E315" t="s">
        <v>22</v>
      </c>
      <c r="F315" t="s">
        <v>23</v>
      </c>
      <c r="G315" t="s">
        <v>24</v>
      </c>
      <c r="H315" t="s">
        <v>25</v>
      </c>
      <c r="I315" t="s">
        <v>26</v>
      </c>
      <c r="J315" s="5">
        <v>2538.159384</v>
      </c>
      <c r="K315" t="s">
        <v>27</v>
      </c>
      <c r="L315" s="5">
        <v>4891.56406272</v>
      </c>
      <c r="M315" t="s">
        <v>662</v>
      </c>
      <c r="N315" s="12">
        <v>0</v>
      </c>
      <c r="O315">
        <v>4</v>
      </c>
      <c r="P315" t="s">
        <v>204</v>
      </c>
      <c r="Q315" s="5">
        <v>3715</v>
      </c>
      <c r="R315" s="5">
        <v>3477.2783560799999</v>
      </c>
      <c r="S315" s="10">
        <v>4157.8294533119997</v>
      </c>
      <c r="T315" s="8">
        <v>0.1423457743897</v>
      </c>
      <c r="U315" s="5">
        <v>0</v>
      </c>
      <c r="V315" s="5">
        <v>0</v>
      </c>
      <c r="W315" s="5">
        <v>4858.8999999999996</v>
      </c>
      <c r="X315" s="8">
        <f>1-(S315/W315)</f>
        <v>0.14428585619955137</v>
      </c>
      <c r="AB315">
        <f>A315</f>
        <v>1863165</v>
      </c>
      <c r="AC315">
        <f>IFERROR(IF(OR(NOT(ISNUMBER(S315)),NOT(ISNUMBER(W315))),"",IF(OR(S315&lt;=0,W315&lt;=0),"",(1-S315/W315)*100)),"")</f>
        <v>14.428585619955136</v>
      </c>
      <c r="AD315">
        <f>IF(AC315="","",(MAX(S315,W315)/MIN(S315,W315)-1)*100)</f>
        <v>16.861455106811761</v>
      </c>
      <c r="AE315">
        <f>IF(AC315="","",ABS(W315-S315))</f>
        <v>701.07054668799992</v>
      </c>
      <c r="AF315">
        <f>IF(AC315="","",IF(AND(AE315&lt;MAX(Расч!$B$11,S315*Расч!$B$12),IF(AD315&lt;Расч!$B$7,0,IF(AD315&lt;Расч!$B$8,1,IF(AD315&lt;Расч!$B$9,2,IF(AD315&lt;Расч!$B$10,3,4))))&gt;1),1,IF(AD315&lt;Расч!$B$7,0,IF(AD315&lt;Расч!$B$8,1,IF(AD315&lt;Расч!$B$9,2,IF(AD315&lt;Расч!$B$10,3,4))))))</f>
        <v>0</v>
      </c>
      <c r="AK315">
        <f>IF(AC315="","",AC315)</f>
        <v>14.428585619955136</v>
      </c>
      <c r="AL315">
        <f>IF(AE315="","",AE315)</f>
        <v>701.07054668799992</v>
      </c>
      <c r="AM315">
        <f>IF(AF315="","",AF315)</f>
        <v>0</v>
      </c>
      <c r="AN315" t="str">
        <f>IF(AM315="","нет данных",CHOOSE(AM315+1,"Норма","Лёгкое отклонение","Заметный разброс","Выброс","Экстремальный выброс"))</f>
        <v>Норма</v>
      </c>
      <c r="AO315">
        <f>IF(OR(AC315="",NOT(ISNUMBER(N315))),0,MAX(N315,0))</f>
        <v>0</v>
      </c>
      <c r="AP315">
        <f>IF(AC315="",0,AC315*AO315)</f>
        <v>0</v>
      </c>
      <c r="AQ315">
        <f>IF(OR(AC315="",NOT(ISNUMBER(O315))),0,MAX(O315,0)*S315)</f>
        <v>16631.317813247999</v>
      </c>
      <c r="AR315">
        <f>IF(AC315="",0,AC315*AQ315)</f>
        <v>239966.39304113376</v>
      </c>
    </row>
    <row r="316" spans="1:44" x14ac:dyDescent="0.25">
      <c r="A316">
        <v>1863166</v>
      </c>
      <c r="B316" t="s">
        <v>20</v>
      </c>
      <c r="C316" t="s">
        <v>663</v>
      </c>
      <c r="D316" t="s">
        <v>744</v>
      </c>
      <c r="E316" t="s">
        <v>22</v>
      </c>
      <c r="F316" t="s">
        <v>23</v>
      </c>
      <c r="G316" t="s">
        <v>24</v>
      </c>
      <c r="H316" t="s">
        <v>25</v>
      </c>
      <c r="I316" t="s">
        <v>26</v>
      </c>
      <c r="J316" s="5">
        <v>3361.5700980000001</v>
      </c>
      <c r="K316" t="s">
        <v>27</v>
      </c>
      <c r="L316" s="5">
        <v>6566.2590675599986</v>
      </c>
      <c r="M316" t="s">
        <v>664</v>
      </c>
      <c r="N316" s="12">
        <v>0</v>
      </c>
      <c r="O316">
        <v>0</v>
      </c>
      <c r="P316" t="s">
        <v>204</v>
      </c>
      <c r="Q316" s="5">
        <v>0</v>
      </c>
      <c r="R316" s="5">
        <v>4605.3510342600002</v>
      </c>
      <c r="S316" s="10">
        <v>5581.3202074259998</v>
      </c>
      <c r="T316" s="8">
        <v>0.15382699352810481</v>
      </c>
      <c r="U316" s="5">
        <v>0</v>
      </c>
      <c r="V316" s="5">
        <v>0</v>
      </c>
      <c r="W316" s="5">
        <v>0</v>
      </c>
    </row>
    <row r="317" spans="1:44" x14ac:dyDescent="0.25">
      <c r="A317">
        <v>1863162</v>
      </c>
      <c r="B317" t="s">
        <v>252</v>
      </c>
      <c r="C317" t="s">
        <v>665</v>
      </c>
      <c r="D317" t="s">
        <v>744</v>
      </c>
      <c r="E317" t="s">
        <v>22</v>
      </c>
      <c r="F317" t="s">
        <v>23</v>
      </c>
      <c r="G317" t="s">
        <v>24</v>
      </c>
      <c r="H317" t="s">
        <v>25</v>
      </c>
      <c r="I317" t="s">
        <v>26</v>
      </c>
      <c r="J317" s="5">
        <v>2546.4431939999999</v>
      </c>
      <c r="K317" t="s">
        <v>27</v>
      </c>
      <c r="L317" s="5">
        <v>4930.1218383599999</v>
      </c>
      <c r="M317" t="s">
        <v>666</v>
      </c>
      <c r="N317" s="12">
        <v>0</v>
      </c>
      <c r="O317">
        <v>2</v>
      </c>
      <c r="P317" t="s">
        <v>204</v>
      </c>
      <c r="Q317" s="5">
        <v>3727</v>
      </c>
      <c r="R317" s="5">
        <v>3488.62717578</v>
      </c>
      <c r="S317" s="10">
        <v>4190.6035626060002</v>
      </c>
      <c r="T317" s="8">
        <v>0.14629779540032359</v>
      </c>
      <c r="U317" s="5">
        <v>0</v>
      </c>
      <c r="V317" s="5">
        <v>0</v>
      </c>
      <c r="W317" s="5">
        <v>6347.4</v>
      </c>
      <c r="X317" s="8">
        <f>1-(S317/W317)</f>
        <v>0.33979210974477736</v>
      </c>
      <c r="AB317">
        <f>A317</f>
        <v>1863162</v>
      </c>
      <c r="AC317">
        <f>IFERROR(IF(OR(NOT(ISNUMBER(S317)),NOT(ISNUMBER(W317))),"",IF(OR(S317&lt;=0,W317&lt;=0),"",(1-S317/W317)*100)),"")</f>
        <v>33.979210974477738</v>
      </c>
      <c r="AD317">
        <f>IF(AC317="","",(MAX(S317,W317)/MIN(S317,W317)-1)*100)</f>
        <v>51.467441507465274</v>
      </c>
      <c r="AE317">
        <f>IF(AC317="","",ABS(W317-S317))</f>
        <v>2156.7964373939994</v>
      </c>
      <c r="AF317">
        <f>IF(AC317="","",IF(AND(AE317&lt;MAX(Расч!$B$11,S317*Расч!$B$12),IF(AD317&lt;Расч!$B$7,0,IF(AD317&lt;Расч!$B$8,1,IF(AD317&lt;Расч!$B$9,2,IF(AD317&lt;Расч!$B$10,3,4))))&gt;1),1,IF(AD317&lt;Расч!$B$7,0,IF(AD317&lt;Расч!$B$8,1,IF(AD317&lt;Расч!$B$9,2,IF(AD317&lt;Расч!$B$10,3,4))))))</f>
        <v>2</v>
      </c>
      <c r="AK317">
        <f t="shared" ref="AK317:AK319" si="91">IF(AC317="","",AC317)</f>
        <v>33.979210974477738</v>
      </c>
      <c r="AL317">
        <f t="shared" ref="AL317:AL319" si="92">IF(AE317="","",AE317)</f>
        <v>2156.7964373939994</v>
      </c>
      <c r="AM317">
        <f t="shared" ref="AM317:AM319" si="93">IF(AF317="","",AF317)</f>
        <v>2</v>
      </c>
      <c r="AN317" t="str">
        <f t="shared" ref="AN317:AN319" si="94">IF(AM317="","нет данных",CHOOSE(AM317+1,"Норма","Лёгкое отклонение","Заметный разброс","Выброс","Экстремальный выброс"))</f>
        <v>Заметный разброс</v>
      </c>
      <c r="AO317">
        <f>IF(OR(AC317="",NOT(ISNUMBER(N317))),0,MAX(N317,0))</f>
        <v>0</v>
      </c>
      <c r="AP317">
        <f t="shared" ref="AP317:AP319" si="95">IF(AC317="",0,AC317*AO317)</f>
        <v>0</v>
      </c>
      <c r="AQ317">
        <f>IF(OR(AC317="",NOT(ISNUMBER(O317))),0,MAX(O317,0)*S317)</f>
        <v>8381.2071252120004</v>
      </c>
      <c r="AR317">
        <f t="shared" ref="AR317:AR319" si="96">IF(AC317="",0,AC317*AQ317)</f>
        <v>284786.8051283746</v>
      </c>
    </row>
    <row r="318" spans="1:44" x14ac:dyDescent="0.25">
      <c r="A318">
        <v>1863161</v>
      </c>
      <c r="B318" t="s">
        <v>20</v>
      </c>
      <c r="C318" t="s">
        <v>667</v>
      </c>
      <c r="D318" t="s">
        <v>744</v>
      </c>
      <c r="E318" t="s">
        <v>22</v>
      </c>
      <c r="F318" t="s">
        <v>23</v>
      </c>
      <c r="G318" t="s">
        <v>24</v>
      </c>
      <c r="H318" t="s">
        <v>25</v>
      </c>
      <c r="I318" t="s">
        <v>26</v>
      </c>
      <c r="J318" s="5">
        <v>3037.9492540000001</v>
      </c>
      <c r="K318" t="s">
        <v>27</v>
      </c>
      <c r="L318" s="5">
        <v>5942.1607194899998</v>
      </c>
      <c r="M318" t="s">
        <v>668</v>
      </c>
      <c r="N318" s="12">
        <v>0</v>
      </c>
      <c r="O318">
        <v>4</v>
      </c>
      <c r="P318" t="s">
        <v>204</v>
      </c>
      <c r="Q318" s="5">
        <v>4446</v>
      </c>
      <c r="R318" s="5">
        <v>4161.9904779800008</v>
      </c>
      <c r="S318" s="10">
        <v>5050.8366115664994</v>
      </c>
      <c r="T318" s="8">
        <v>0.1549949388134533</v>
      </c>
      <c r="U318" s="5">
        <v>0</v>
      </c>
      <c r="V318" s="5">
        <v>0</v>
      </c>
      <c r="W318" s="5">
        <v>5517.45</v>
      </c>
      <c r="X318" s="8">
        <f>1-(S318/W318)</f>
        <v>8.4570478832341145E-2</v>
      </c>
      <c r="AB318">
        <f>A318</f>
        <v>1863161</v>
      </c>
      <c r="AC318">
        <f>IFERROR(IF(OR(NOT(ISNUMBER(S318)),NOT(ISNUMBER(W318))),"",IF(OR(S318&lt;=0,W318&lt;=0),"",(1-S318/W318)*100)),"")</f>
        <v>8.4570478832341145</v>
      </c>
      <c r="AD318">
        <f>IF(AC318="","",(MAX(S318,W318)/MIN(S318,W318)-1)*100)</f>
        <v>9.238338602459395</v>
      </c>
      <c r="AE318">
        <f>IF(AC318="","",ABS(W318-S318))</f>
        <v>466.6133884335004</v>
      </c>
      <c r="AF318">
        <f>IF(AC318="","",IF(AND(AE318&lt;MAX(Расч!$B$11,S318*Расч!$B$12),IF(AD318&lt;Расч!$B$7,0,IF(AD318&lt;Расч!$B$8,1,IF(AD318&lt;Расч!$B$9,2,IF(AD318&lt;Расч!$B$10,3,4))))&gt;1),1,IF(AD318&lt;Расч!$B$7,0,IF(AD318&lt;Расч!$B$8,1,IF(AD318&lt;Расч!$B$9,2,IF(AD318&lt;Расч!$B$10,3,4))))))</f>
        <v>0</v>
      </c>
      <c r="AK318">
        <f t="shared" si="91"/>
        <v>8.4570478832341145</v>
      </c>
      <c r="AL318">
        <f t="shared" si="92"/>
        <v>466.6133884335004</v>
      </c>
      <c r="AM318">
        <f t="shared" si="93"/>
        <v>0</v>
      </c>
      <c r="AN318" t="str">
        <f t="shared" si="94"/>
        <v>Норма</v>
      </c>
      <c r="AO318">
        <f>IF(OR(AC318="",NOT(ISNUMBER(N318))),0,MAX(N318,0))</f>
        <v>0</v>
      </c>
      <c r="AP318">
        <f t="shared" si="95"/>
        <v>0</v>
      </c>
      <c r="AQ318">
        <f>IF(OR(AC318="",NOT(ISNUMBER(O318))),0,MAX(O318,0)*S318)</f>
        <v>20203.346446265998</v>
      </c>
      <c r="AR318">
        <f t="shared" si="96"/>
        <v>170860.66829763932</v>
      </c>
    </row>
    <row r="319" spans="1:44" x14ac:dyDescent="0.25">
      <c r="A319">
        <v>1863160</v>
      </c>
      <c r="B319" t="s">
        <v>252</v>
      </c>
      <c r="C319" t="s">
        <v>669</v>
      </c>
      <c r="D319" t="s">
        <v>744</v>
      </c>
      <c r="E319" t="s">
        <v>22</v>
      </c>
      <c r="F319" t="s">
        <v>23</v>
      </c>
      <c r="G319" t="s">
        <v>24</v>
      </c>
      <c r="H319" t="s">
        <v>25</v>
      </c>
      <c r="I319" t="s">
        <v>26</v>
      </c>
      <c r="J319" s="5">
        <v>2709.910378</v>
      </c>
      <c r="K319" t="s">
        <v>27</v>
      </c>
      <c r="L319" s="5">
        <v>7874.826419519999</v>
      </c>
      <c r="M319" t="s">
        <v>670</v>
      </c>
      <c r="N319" s="12">
        <v>0</v>
      </c>
      <c r="O319">
        <v>0</v>
      </c>
      <c r="P319" t="s">
        <v>204</v>
      </c>
      <c r="Q319" s="5">
        <v>0</v>
      </c>
      <c r="R319" s="5">
        <v>3712.57721786</v>
      </c>
      <c r="S319" s="10">
        <v>6693.6024565919988</v>
      </c>
      <c r="T319" s="8">
        <v>0.44535438996623161</v>
      </c>
      <c r="U319" s="5">
        <v>0</v>
      </c>
      <c r="V319" s="5">
        <v>0</v>
      </c>
      <c r="W319" s="5">
        <v>5796.51</v>
      </c>
      <c r="X319" s="8">
        <f>1-(S319/W319)</f>
        <v>-0.15476423858356125</v>
      </c>
      <c r="AB319">
        <f>A319</f>
        <v>1863160</v>
      </c>
      <c r="AC319">
        <f>IFERROR(IF(OR(NOT(ISNUMBER(S319)),NOT(ISNUMBER(W319))),"",IF(OR(S319&lt;=0,W319&lt;=0),"",(1-S319/W319)*100)),"")</f>
        <v>-15.476423858356124</v>
      </c>
      <c r="AD319">
        <f>IF(AC319="","",(MAX(S319,W319)/MIN(S319,W319)-1)*100)</f>
        <v>15.476423858356124</v>
      </c>
      <c r="AE319">
        <f>IF(AC319="","",ABS(W319-S319))</f>
        <v>897.0924565919986</v>
      </c>
      <c r="AF319">
        <f>IF(AC319="","",IF(AND(AE319&lt;MAX(Расч!$B$11,S319*Расч!$B$12),IF(AD319&lt;Расч!$B$7,0,IF(AD319&lt;Расч!$B$8,1,IF(AD319&lt;Расч!$B$9,2,IF(AD319&lt;Расч!$B$10,3,4))))&gt;1),1,IF(AD319&lt;Расч!$B$7,0,IF(AD319&lt;Расч!$B$8,1,IF(AD319&lt;Расч!$B$9,2,IF(AD319&lt;Расч!$B$10,3,4))))))</f>
        <v>0</v>
      </c>
      <c r="AK319">
        <f t="shared" si="91"/>
        <v>-15.476423858356124</v>
      </c>
      <c r="AL319">
        <f t="shared" si="92"/>
        <v>897.0924565919986</v>
      </c>
      <c r="AM319">
        <f t="shared" si="93"/>
        <v>0</v>
      </c>
      <c r="AN319" t="str">
        <f t="shared" si="94"/>
        <v>Норма</v>
      </c>
      <c r="AO319">
        <f>IF(OR(AC319="",NOT(ISNUMBER(N319))),0,MAX(N319,0))</f>
        <v>0</v>
      </c>
      <c r="AP319">
        <f t="shared" si="95"/>
        <v>0</v>
      </c>
      <c r="AQ319">
        <f>IF(OR(AC319="",NOT(ISNUMBER(O319))),0,MAX(O319,0)*S319)</f>
        <v>0</v>
      </c>
      <c r="AR319">
        <f t="shared" si="96"/>
        <v>0</v>
      </c>
    </row>
    <row r="320" spans="1:44" x14ac:dyDescent="0.25">
      <c r="A320">
        <v>1863725</v>
      </c>
      <c r="B320" t="s">
        <v>20</v>
      </c>
      <c r="C320" t="s">
        <v>671</v>
      </c>
      <c r="D320" t="s">
        <v>744</v>
      </c>
      <c r="E320" t="s">
        <v>22</v>
      </c>
      <c r="F320" t="s">
        <v>23</v>
      </c>
      <c r="G320" t="s">
        <v>24</v>
      </c>
      <c r="H320" t="s">
        <v>25</v>
      </c>
      <c r="I320" t="s">
        <v>26</v>
      </c>
      <c r="J320" s="5">
        <v>1365.724142</v>
      </c>
      <c r="K320" t="s">
        <v>27</v>
      </c>
      <c r="L320" s="5">
        <v>3150.9510133799999</v>
      </c>
      <c r="M320" t="s">
        <v>672</v>
      </c>
      <c r="N320" s="12">
        <v>0</v>
      </c>
      <c r="O320">
        <v>6</v>
      </c>
      <c r="P320" t="s">
        <v>204</v>
      </c>
      <c r="Q320" s="5">
        <v>2021</v>
      </c>
      <c r="R320" s="5">
        <v>1871.0420745399999</v>
      </c>
      <c r="S320" s="10">
        <v>2678.308361373</v>
      </c>
      <c r="T320" s="8">
        <v>0.27553649361271509</v>
      </c>
      <c r="U320" s="5">
        <v>0</v>
      </c>
      <c r="V320" s="5">
        <v>0</v>
      </c>
      <c r="W320" s="5">
        <v>0</v>
      </c>
      <c r="X320" s="5"/>
    </row>
    <row r="321" spans="1:24" x14ac:dyDescent="0.25">
      <c r="A321">
        <v>1863723</v>
      </c>
      <c r="B321" t="s">
        <v>20</v>
      </c>
      <c r="C321" t="s">
        <v>673</v>
      </c>
      <c r="D321" t="s">
        <v>744</v>
      </c>
      <c r="E321" t="s">
        <v>22</v>
      </c>
      <c r="F321" t="s">
        <v>23</v>
      </c>
      <c r="G321" t="s">
        <v>24</v>
      </c>
      <c r="H321" t="s">
        <v>25</v>
      </c>
      <c r="I321" t="s">
        <v>26</v>
      </c>
      <c r="J321" s="5">
        <v>1020.565392</v>
      </c>
      <c r="K321" t="s">
        <v>27</v>
      </c>
      <c r="L321" s="5">
        <v>2354.6267926800001</v>
      </c>
      <c r="M321" t="s">
        <v>674</v>
      </c>
      <c r="N321" s="12">
        <v>0</v>
      </c>
      <c r="O321">
        <v>0</v>
      </c>
      <c r="P321" t="s">
        <v>204</v>
      </c>
      <c r="Q321" s="5">
        <v>0</v>
      </c>
      <c r="R321" s="5">
        <v>1398.17458704</v>
      </c>
      <c r="S321" s="10">
        <v>2001.432773778</v>
      </c>
      <c r="T321" s="8">
        <v>0.30141316492947229</v>
      </c>
      <c r="U321" s="5">
        <v>0</v>
      </c>
      <c r="V321" s="5">
        <v>0</v>
      </c>
      <c r="W321" s="5">
        <v>0</v>
      </c>
      <c r="X321" s="5"/>
    </row>
    <row r="322" spans="1:24" x14ac:dyDescent="0.25">
      <c r="A322">
        <v>1863724</v>
      </c>
      <c r="B322" t="s">
        <v>20</v>
      </c>
      <c r="C322" t="s">
        <v>675</v>
      </c>
      <c r="D322" t="s">
        <v>744</v>
      </c>
      <c r="E322" t="s">
        <v>22</v>
      </c>
      <c r="F322" t="s">
        <v>23</v>
      </c>
      <c r="G322" t="s">
        <v>24</v>
      </c>
      <c r="H322" t="s">
        <v>25</v>
      </c>
      <c r="I322" t="s">
        <v>26</v>
      </c>
      <c r="J322" s="5">
        <v>1008.968058</v>
      </c>
      <c r="K322" t="s">
        <v>27</v>
      </c>
      <c r="L322" s="5">
        <v>2327.8486572000002</v>
      </c>
      <c r="M322" t="s">
        <v>676</v>
      </c>
      <c r="N322" s="12">
        <v>0</v>
      </c>
      <c r="O322">
        <v>4</v>
      </c>
      <c r="P322" t="s">
        <v>204</v>
      </c>
      <c r="Q322" s="5">
        <v>1407</v>
      </c>
      <c r="R322" s="5">
        <v>1382.2862394599999</v>
      </c>
      <c r="S322" s="10">
        <v>1978.6713586200001</v>
      </c>
      <c r="T322" s="8">
        <v>0.30324457672368449</v>
      </c>
      <c r="U322" s="5">
        <v>0</v>
      </c>
      <c r="V322" s="5">
        <v>0</v>
      </c>
      <c r="W322" s="5">
        <v>0</v>
      </c>
      <c r="X322" s="5"/>
    </row>
    <row r="323" spans="1:24" x14ac:dyDescent="0.25">
      <c r="A323">
        <v>130940</v>
      </c>
      <c r="B323" t="s">
        <v>30</v>
      </c>
      <c r="C323" t="s">
        <v>677</v>
      </c>
      <c r="D323" t="s">
        <v>718</v>
      </c>
      <c r="E323" t="s">
        <v>22</v>
      </c>
      <c r="F323" t="s">
        <v>23</v>
      </c>
      <c r="G323" t="s">
        <v>24</v>
      </c>
      <c r="H323" t="s">
        <v>25</v>
      </c>
      <c r="I323" t="s">
        <v>26</v>
      </c>
      <c r="J323" s="5">
        <v>1082.4178400000001</v>
      </c>
      <c r="K323" t="s">
        <v>27</v>
      </c>
      <c r="L323" s="5">
        <v>2932.2914429100001</v>
      </c>
      <c r="M323" t="s">
        <v>678</v>
      </c>
      <c r="N323" s="12">
        <v>0</v>
      </c>
      <c r="O323">
        <v>0</v>
      </c>
      <c r="P323" t="s">
        <v>204</v>
      </c>
      <c r="Q323" s="5">
        <v>0</v>
      </c>
      <c r="R323" s="5">
        <v>1482.9124408</v>
      </c>
      <c r="S323" s="10">
        <v>2492.4477264735001</v>
      </c>
      <c r="T323" s="8">
        <v>0.40503769645827847</v>
      </c>
      <c r="U323" s="5">
        <v>0</v>
      </c>
      <c r="V323" s="5">
        <v>0</v>
      </c>
      <c r="W323" s="5">
        <v>0</v>
      </c>
      <c r="X323" s="5"/>
    </row>
    <row r="324" spans="1:24" x14ac:dyDescent="0.25">
      <c r="A324">
        <v>1863722</v>
      </c>
      <c r="B324" t="s">
        <v>30</v>
      </c>
      <c r="C324" t="s">
        <v>679</v>
      </c>
      <c r="D324" t="s">
        <v>744</v>
      </c>
      <c r="E324" t="s">
        <v>22</v>
      </c>
      <c r="F324" t="s">
        <v>23</v>
      </c>
      <c r="G324" t="s">
        <v>24</v>
      </c>
      <c r="H324" t="s">
        <v>25</v>
      </c>
      <c r="I324" t="s">
        <v>26</v>
      </c>
      <c r="J324" s="5">
        <v>1306.6329639999999</v>
      </c>
      <c r="K324" t="s">
        <v>27</v>
      </c>
      <c r="L324" s="5">
        <v>3014.6290730400001</v>
      </c>
      <c r="M324" t="s">
        <v>680</v>
      </c>
      <c r="N324" s="12">
        <v>0</v>
      </c>
      <c r="O324">
        <v>12</v>
      </c>
      <c r="P324" t="s">
        <v>204</v>
      </c>
      <c r="Q324" s="5">
        <v>1805</v>
      </c>
      <c r="R324" s="5">
        <v>1790.0871606799999</v>
      </c>
      <c r="S324" s="10">
        <v>2562.4347120839998</v>
      </c>
      <c r="T324" s="8">
        <v>0.31610875453625231</v>
      </c>
      <c r="U324" s="5">
        <v>0</v>
      </c>
      <c r="V324" s="5">
        <v>0</v>
      </c>
      <c r="W324" s="5">
        <v>0</v>
      </c>
      <c r="X324" s="5"/>
    </row>
    <row r="325" spans="1:24" x14ac:dyDescent="0.25">
      <c r="A325">
        <v>1863730</v>
      </c>
      <c r="B325" t="s">
        <v>20</v>
      </c>
      <c r="C325" t="s">
        <v>681</v>
      </c>
      <c r="D325" t="s">
        <v>744</v>
      </c>
      <c r="E325" t="s">
        <v>22</v>
      </c>
      <c r="F325" t="s">
        <v>23</v>
      </c>
      <c r="G325" t="s">
        <v>24</v>
      </c>
      <c r="H325" t="s">
        <v>25</v>
      </c>
      <c r="I325" t="s">
        <v>26</v>
      </c>
      <c r="J325" s="5">
        <v>1196.734418</v>
      </c>
      <c r="K325" t="s">
        <v>27</v>
      </c>
      <c r="L325" s="5">
        <v>2761.0757429099999</v>
      </c>
      <c r="M325" t="s">
        <v>682</v>
      </c>
      <c r="N325" s="12">
        <v>0</v>
      </c>
      <c r="O325">
        <v>0</v>
      </c>
      <c r="P325" t="s">
        <v>204</v>
      </c>
      <c r="Q325" s="5">
        <v>0</v>
      </c>
      <c r="R325" s="5">
        <v>1639.52615266</v>
      </c>
      <c r="S325" s="10">
        <v>2346.9143814734998</v>
      </c>
      <c r="T325" s="8">
        <v>0.30141203036532133</v>
      </c>
      <c r="U325" s="5">
        <v>0</v>
      </c>
      <c r="V325" s="5">
        <v>0</v>
      </c>
      <c r="W325" s="5">
        <v>0</v>
      </c>
      <c r="X325" s="5"/>
    </row>
    <row r="326" spans="1:24" x14ac:dyDescent="0.25">
      <c r="A326">
        <v>1863729</v>
      </c>
      <c r="B326" t="s">
        <v>20</v>
      </c>
      <c r="C326" t="s">
        <v>683</v>
      </c>
      <c r="D326" t="s">
        <v>744</v>
      </c>
      <c r="E326" t="s">
        <v>22</v>
      </c>
      <c r="F326" t="s">
        <v>23</v>
      </c>
      <c r="G326" t="s">
        <v>24</v>
      </c>
      <c r="H326" t="s">
        <v>25</v>
      </c>
      <c r="I326" t="s">
        <v>26</v>
      </c>
      <c r="J326" s="5">
        <v>1871.588806</v>
      </c>
      <c r="K326" t="s">
        <v>27</v>
      </c>
      <c r="L326" s="5">
        <v>4318.0599539999994</v>
      </c>
      <c r="M326" t="s">
        <v>684</v>
      </c>
      <c r="N326" s="12">
        <v>0</v>
      </c>
      <c r="O326">
        <v>14</v>
      </c>
      <c r="P326" t="s">
        <v>204</v>
      </c>
      <c r="Q326" s="5">
        <v>2500</v>
      </c>
      <c r="R326" s="5">
        <v>2564.0766642200001</v>
      </c>
      <c r="S326" s="10">
        <v>3670.3509608999989</v>
      </c>
      <c r="T326" s="8">
        <v>0.35851116371462</v>
      </c>
      <c r="U326" s="5">
        <v>0</v>
      </c>
      <c r="V326" s="5">
        <v>0</v>
      </c>
      <c r="W326" s="5">
        <v>0</v>
      </c>
      <c r="X326" s="5"/>
    </row>
    <row r="327" spans="1:24" x14ac:dyDescent="0.25">
      <c r="A327">
        <v>1863728</v>
      </c>
      <c r="B327" t="s">
        <v>20</v>
      </c>
      <c r="C327" t="s">
        <v>685</v>
      </c>
      <c r="D327" t="s">
        <v>744</v>
      </c>
      <c r="E327" t="s">
        <v>22</v>
      </c>
      <c r="F327" t="s">
        <v>23</v>
      </c>
      <c r="G327" t="s">
        <v>24</v>
      </c>
      <c r="H327" t="s">
        <v>25</v>
      </c>
      <c r="I327" t="s">
        <v>26</v>
      </c>
      <c r="J327" s="5">
        <v>2114.5805660000001</v>
      </c>
      <c r="K327" t="s">
        <v>27</v>
      </c>
      <c r="L327" s="5">
        <v>4878.7057636499994</v>
      </c>
      <c r="M327" t="s">
        <v>686</v>
      </c>
      <c r="N327" s="12">
        <v>0</v>
      </c>
      <c r="O327">
        <v>13</v>
      </c>
      <c r="P327" t="s">
        <v>204</v>
      </c>
      <c r="Q327" s="5">
        <v>2780</v>
      </c>
      <c r="R327" s="5">
        <v>2896.975375420001</v>
      </c>
      <c r="S327" s="10">
        <v>4146.8998991024991</v>
      </c>
      <c r="T327" s="8">
        <v>0.36547982090521419</v>
      </c>
      <c r="U327" s="5">
        <v>0</v>
      </c>
      <c r="V327" s="5">
        <v>0</v>
      </c>
      <c r="W327" s="5">
        <v>0</v>
      </c>
      <c r="X327" s="5"/>
    </row>
    <row r="328" spans="1:24" x14ac:dyDescent="0.25">
      <c r="A328">
        <v>1863727</v>
      </c>
      <c r="B328" t="s">
        <v>30</v>
      </c>
      <c r="C328" t="s">
        <v>687</v>
      </c>
      <c r="D328" t="s">
        <v>744</v>
      </c>
      <c r="E328" t="s">
        <v>22</v>
      </c>
      <c r="F328" t="s">
        <v>23</v>
      </c>
      <c r="G328" t="s">
        <v>24</v>
      </c>
      <c r="H328" t="s">
        <v>25</v>
      </c>
      <c r="I328" t="s">
        <v>26</v>
      </c>
      <c r="J328" s="5">
        <v>1249.1985480000001</v>
      </c>
      <c r="K328" t="s">
        <v>27</v>
      </c>
      <c r="L328" s="5">
        <v>2882.1081212399999</v>
      </c>
      <c r="M328" t="s">
        <v>688</v>
      </c>
      <c r="N328" s="12">
        <v>0</v>
      </c>
      <c r="O328">
        <v>12</v>
      </c>
      <c r="P328" t="s">
        <v>204</v>
      </c>
      <c r="Q328" s="5">
        <v>1831</v>
      </c>
      <c r="R328" s="5">
        <v>1711.4020107599999</v>
      </c>
      <c r="S328" s="10">
        <v>2449.7919030540002</v>
      </c>
      <c r="T328" s="8">
        <v>0.28336299247583868</v>
      </c>
      <c r="U328" s="5">
        <v>0</v>
      </c>
      <c r="V328" s="5">
        <v>0</v>
      </c>
      <c r="W328" s="5">
        <v>0</v>
      </c>
      <c r="X328" s="5"/>
    </row>
    <row r="329" spans="1:24" x14ac:dyDescent="0.25">
      <c r="A329">
        <v>1863726</v>
      </c>
      <c r="B329" t="s">
        <v>20</v>
      </c>
      <c r="C329" t="s">
        <v>689</v>
      </c>
      <c r="D329" t="s">
        <v>744</v>
      </c>
      <c r="E329" t="s">
        <v>22</v>
      </c>
      <c r="F329" t="s">
        <v>23</v>
      </c>
      <c r="G329" t="s">
        <v>24</v>
      </c>
      <c r="H329" t="s">
        <v>25</v>
      </c>
      <c r="I329" t="s">
        <v>26</v>
      </c>
      <c r="J329" s="5">
        <v>1540.7886599999999</v>
      </c>
      <c r="K329" t="s">
        <v>27</v>
      </c>
      <c r="L329" s="5">
        <v>3554.8659712499998</v>
      </c>
      <c r="M329" t="s">
        <v>690</v>
      </c>
      <c r="N329" s="12">
        <v>0</v>
      </c>
      <c r="O329">
        <v>12</v>
      </c>
      <c r="P329" t="s">
        <v>204</v>
      </c>
      <c r="Q329" s="5">
        <v>2257</v>
      </c>
      <c r="R329" s="5">
        <v>2110.8804642</v>
      </c>
      <c r="S329" s="10">
        <v>3021.6360755625001</v>
      </c>
      <c r="T329" s="8">
        <v>0.28942733462688658</v>
      </c>
      <c r="U329" s="5">
        <v>0</v>
      </c>
      <c r="V329" s="5">
        <v>0</v>
      </c>
      <c r="W329" s="5">
        <v>0</v>
      </c>
      <c r="X329" s="5"/>
    </row>
    <row r="330" spans="1:24" x14ac:dyDescent="0.25">
      <c r="A330">
        <v>1863915</v>
      </c>
      <c r="B330" t="s">
        <v>20</v>
      </c>
      <c r="C330" t="s">
        <v>691</v>
      </c>
      <c r="D330" t="s">
        <v>744</v>
      </c>
      <c r="E330" t="s">
        <v>22</v>
      </c>
      <c r="F330" t="s">
        <v>23</v>
      </c>
      <c r="G330" t="s">
        <v>24</v>
      </c>
      <c r="H330" t="s">
        <v>25</v>
      </c>
      <c r="I330" t="s">
        <v>26</v>
      </c>
      <c r="J330" s="5">
        <v>2726.52217832</v>
      </c>
      <c r="K330" t="s">
        <v>27</v>
      </c>
      <c r="L330" s="5">
        <v>6488.4757750500003</v>
      </c>
      <c r="M330" t="s">
        <v>692</v>
      </c>
      <c r="N330" s="12">
        <v>0</v>
      </c>
      <c r="O330">
        <v>7</v>
      </c>
      <c r="P330" t="s">
        <v>204</v>
      </c>
      <c r="Q330" s="5">
        <v>3384</v>
      </c>
      <c r="R330" s="5">
        <v>3735.3353842984002</v>
      </c>
      <c r="S330" s="10">
        <v>5515.2044087924996</v>
      </c>
      <c r="T330" s="8">
        <v>0.41916024093450338</v>
      </c>
      <c r="U330" s="5">
        <v>0</v>
      </c>
      <c r="V330" s="5">
        <v>0</v>
      </c>
      <c r="W330" s="5">
        <v>0</v>
      </c>
      <c r="X330" s="5"/>
    </row>
    <row r="331" spans="1:24" x14ac:dyDescent="0.25">
      <c r="A331">
        <v>1863916</v>
      </c>
      <c r="B331" t="s">
        <v>30</v>
      </c>
      <c r="C331" t="s">
        <v>693</v>
      </c>
      <c r="D331" t="s">
        <v>744</v>
      </c>
      <c r="E331" t="s">
        <v>22</v>
      </c>
      <c r="F331" t="s">
        <v>23</v>
      </c>
      <c r="G331" t="s">
        <v>24</v>
      </c>
      <c r="H331" t="s">
        <v>25</v>
      </c>
      <c r="I331" t="s">
        <v>26</v>
      </c>
      <c r="J331" s="5">
        <v>1551.83374</v>
      </c>
      <c r="K331" t="s">
        <v>27</v>
      </c>
      <c r="L331" s="5">
        <v>3509.8362421500001</v>
      </c>
      <c r="M331" t="s">
        <v>129</v>
      </c>
      <c r="N331" s="12">
        <v>0</v>
      </c>
      <c r="O331">
        <v>24</v>
      </c>
      <c r="P331" t="s">
        <v>204</v>
      </c>
      <c r="Q331" s="5">
        <v>2150</v>
      </c>
      <c r="R331" s="5">
        <v>2126.0122237999999</v>
      </c>
      <c r="S331" s="10">
        <v>2983.360805827499</v>
      </c>
      <c r="T331" s="8">
        <v>0.31289365006001219</v>
      </c>
      <c r="U331" s="5">
        <v>0</v>
      </c>
      <c r="V331" s="5">
        <v>0</v>
      </c>
      <c r="W331" s="5">
        <v>0</v>
      </c>
      <c r="X331" s="5"/>
    </row>
    <row r="332" spans="1:24" x14ac:dyDescent="0.25">
      <c r="A332">
        <v>1863731</v>
      </c>
      <c r="B332" t="s">
        <v>20</v>
      </c>
      <c r="C332" t="s">
        <v>694</v>
      </c>
      <c r="D332" t="s">
        <v>744</v>
      </c>
      <c r="E332" t="s">
        <v>22</v>
      </c>
      <c r="F332" t="s">
        <v>23</v>
      </c>
      <c r="G332" t="s">
        <v>24</v>
      </c>
      <c r="H332" t="s">
        <v>25</v>
      </c>
      <c r="I332" t="s">
        <v>26</v>
      </c>
      <c r="J332" s="5">
        <v>1653.448476</v>
      </c>
      <c r="K332" t="s">
        <v>27</v>
      </c>
      <c r="L332" s="5">
        <v>3814.78852542</v>
      </c>
      <c r="M332" t="s">
        <v>695</v>
      </c>
      <c r="N332" s="12">
        <v>0</v>
      </c>
      <c r="O332">
        <v>5</v>
      </c>
      <c r="P332" t="s">
        <v>204</v>
      </c>
      <c r="Q332" s="5">
        <v>2450</v>
      </c>
      <c r="R332" s="5">
        <v>2265.2244121200001</v>
      </c>
      <c r="S332" s="10">
        <v>3242.5702466070002</v>
      </c>
      <c r="T332" s="8">
        <v>0.27486166183742827</v>
      </c>
      <c r="U332" s="5">
        <v>0</v>
      </c>
      <c r="V332" s="5">
        <v>0</v>
      </c>
      <c r="W332" s="5">
        <v>0</v>
      </c>
      <c r="X332" s="5"/>
    </row>
    <row r="333" spans="1:24" x14ac:dyDescent="0.25">
      <c r="A333">
        <v>1714652</v>
      </c>
      <c r="B333" t="s">
        <v>20</v>
      </c>
      <c r="C333" t="s">
        <v>696</v>
      </c>
      <c r="D333" t="s">
        <v>744</v>
      </c>
      <c r="E333" t="s">
        <v>22</v>
      </c>
      <c r="F333" t="s">
        <v>23</v>
      </c>
      <c r="G333" t="s">
        <v>24</v>
      </c>
      <c r="H333" t="s">
        <v>25</v>
      </c>
      <c r="I333" t="s">
        <v>26</v>
      </c>
      <c r="J333" s="5">
        <v>1951.6656359999999</v>
      </c>
      <c r="K333" t="s">
        <v>27</v>
      </c>
      <c r="L333" s="5">
        <v>6265.8953650499998</v>
      </c>
      <c r="M333" t="s">
        <v>697</v>
      </c>
      <c r="N333" s="12">
        <v>0</v>
      </c>
      <c r="O333">
        <v>0</v>
      </c>
      <c r="P333" t="s">
        <v>204</v>
      </c>
      <c r="Q333" s="5">
        <v>0</v>
      </c>
      <c r="R333" s="5">
        <v>2673.78192132</v>
      </c>
      <c r="S333" s="10">
        <v>5326.0110602924997</v>
      </c>
      <c r="T333" s="8">
        <v>0.49797664874297898</v>
      </c>
      <c r="U333" s="5">
        <v>0</v>
      </c>
      <c r="V333" s="5">
        <v>0</v>
      </c>
      <c r="W333" s="5">
        <v>0</v>
      </c>
      <c r="X333" s="5"/>
    </row>
    <row r="334" spans="1:24" x14ac:dyDescent="0.25">
      <c r="A334">
        <v>1863732</v>
      </c>
      <c r="B334" t="s">
        <v>20</v>
      </c>
      <c r="C334" t="s">
        <v>698</v>
      </c>
      <c r="D334" t="s">
        <v>744</v>
      </c>
      <c r="E334" t="s">
        <v>22</v>
      </c>
      <c r="F334" t="s">
        <v>23</v>
      </c>
      <c r="G334" t="s">
        <v>24</v>
      </c>
      <c r="H334" t="s">
        <v>25</v>
      </c>
      <c r="I334" t="s">
        <v>26</v>
      </c>
      <c r="J334" s="5">
        <v>1359.6493479999999</v>
      </c>
      <c r="K334" t="s">
        <v>27</v>
      </c>
      <c r="L334" s="5">
        <v>3136.9455691200001</v>
      </c>
      <c r="M334" t="s">
        <v>699</v>
      </c>
      <c r="N334" s="12">
        <v>0</v>
      </c>
      <c r="O334">
        <v>9</v>
      </c>
      <c r="P334" t="s">
        <v>204</v>
      </c>
      <c r="Q334" s="5">
        <v>1680</v>
      </c>
      <c r="R334" s="5">
        <v>1862.71960676</v>
      </c>
      <c r="S334" s="10">
        <v>2666.4037337519999</v>
      </c>
      <c r="T334" s="8">
        <v>0.39774686793573222</v>
      </c>
      <c r="U334" s="5">
        <v>0</v>
      </c>
      <c r="V334" s="5">
        <v>0</v>
      </c>
      <c r="W334" s="5">
        <v>0</v>
      </c>
      <c r="X334" s="5"/>
    </row>
    <row r="335" spans="1:24" x14ac:dyDescent="0.25">
      <c r="A335">
        <v>1863715</v>
      </c>
      <c r="B335" t="s">
        <v>20</v>
      </c>
      <c r="C335" t="s">
        <v>700</v>
      </c>
      <c r="D335" t="s">
        <v>744</v>
      </c>
      <c r="E335" t="s">
        <v>22</v>
      </c>
      <c r="F335" t="s">
        <v>23</v>
      </c>
      <c r="G335" t="s">
        <v>24</v>
      </c>
      <c r="H335" t="s">
        <v>25</v>
      </c>
      <c r="I335" t="s">
        <v>26</v>
      </c>
      <c r="J335" s="5">
        <v>1466.2343699999999</v>
      </c>
      <c r="K335" t="s">
        <v>27</v>
      </c>
      <c r="L335" s="5">
        <v>3382.86267903</v>
      </c>
      <c r="M335" t="s">
        <v>701</v>
      </c>
      <c r="N335" s="12">
        <v>0</v>
      </c>
      <c r="O335">
        <v>0</v>
      </c>
      <c r="P335" t="s">
        <v>204</v>
      </c>
      <c r="Q335" s="5">
        <v>0</v>
      </c>
      <c r="R335" s="5">
        <v>2008.7410869</v>
      </c>
      <c r="S335" s="10">
        <v>2875.4332771754998</v>
      </c>
      <c r="T335" s="8">
        <v>0.30141272870252089</v>
      </c>
      <c r="U335" s="5">
        <v>0</v>
      </c>
      <c r="V335" s="5">
        <v>0</v>
      </c>
      <c r="W335" s="5">
        <v>0</v>
      </c>
      <c r="X335" s="5"/>
    </row>
    <row r="336" spans="1:24" x14ac:dyDescent="0.25">
      <c r="A336">
        <v>1863716</v>
      </c>
      <c r="B336" t="s">
        <v>20</v>
      </c>
      <c r="C336" t="s">
        <v>702</v>
      </c>
      <c r="D336" t="s">
        <v>744</v>
      </c>
      <c r="E336" t="s">
        <v>22</v>
      </c>
      <c r="F336" t="s">
        <v>23</v>
      </c>
      <c r="G336" t="s">
        <v>24</v>
      </c>
      <c r="H336" t="s">
        <v>25</v>
      </c>
      <c r="I336" t="s">
        <v>26</v>
      </c>
      <c r="J336" s="5">
        <v>1234.8399440000001</v>
      </c>
      <c r="K336" t="s">
        <v>27</v>
      </c>
      <c r="L336" s="5">
        <v>2848.9950048599999</v>
      </c>
      <c r="M336" t="s">
        <v>703</v>
      </c>
      <c r="N336" s="12">
        <v>0</v>
      </c>
      <c r="O336">
        <v>12</v>
      </c>
      <c r="P336" t="s">
        <v>204</v>
      </c>
      <c r="Q336" s="5">
        <v>1687</v>
      </c>
      <c r="R336" s="5">
        <v>1691.7307232799999</v>
      </c>
      <c r="S336" s="10">
        <v>2421.6457541310001</v>
      </c>
      <c r="T336" s="8">
        <v>0.34198640300090172</v>
      </c>
      <c r="U336" s="5">
        <v>0</v>
      </c>
      <c r="V336" s="5">
        <v>0</v>
      </c>
      <c r="W336" s="5">
        <v>0</v>
      </c>
      <c r="X336" s="5"/>
    </row>
    <row r="337" spans="1:44" x14ac:dyDescent="0.25">
      <c r="A337">
        <v>1863717</v>
      </c>
      <c r="B337" t="s">
        <v>30</v>
      </c>
      <c r="C337" t="s">
        <v>704</v>
      </c>
      <c r="D337" t="s">
        <v>744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s="5">
        <v>977.48958000000005</v>
      </c>
      <c r="K337" t="s">
        <v>27</v>
      </c>
      <c r="L337" s="5">
        <v>2255.21895726</v>
      </c>
      <c r="M337" t="s">
        <v>705</v>
      </c>
      <c r="N337" s="12">
        <v>0</v>
      </c>
      <c r="O337">
        <v>4</v>
      </c>
      <c r="P337" t="s">
        <v>204</v>
      </c>
      <c r="Q337" s="5">
        <v>1388</v>
      </c>
      <c r="R337" s="5">
        <v>1339.1607246000001</v>
      </c>
      <c r="S337" s="10">
        <v>1916.9361136709999</v>
      </c>
      <c r="T337" s="8">
        <v>0.30478903783189698</v>
      </c>
      <c r="U337" s="5">
        <v>0</v>
      </c>
      <c r="V337" s="5">
        <v>0</v>
      </c>
      <c r="W337" s="5">
        <v>0</v>
      </c>
      <c r="X337" s="5"/>
    </row>
    <row r="338" spans="1:44" x14ac:dyDescent="0.25">
      <c r="A338">
        <v>1863718</v>
      </c>
      <c r="B338" t="s">
        <v>20</v>
      </c>
      <c r="C338" t="s">
        <v>706</v>
      </c>
      <c r="D338" t="s">
        <v>744</v>
      </c>
      <c r="E338" t="s">
        <v>22</v>
      </c>
      <c r="F338" t="s">
        <v>23</v>
      </c>
      <c r="G338" t="s">
        <v>24</v>
      </c>
      <c r="H338" t="s">
        <v>25</v>
      </c>
      <c r="I338" t="s">
        <v>26</v>
      </c>
      <c r="J338" s="5">
        <v>1274.049978</v>
      </c>
      <c r="K338" t="s">
        <v>27</v>
      </c>
      <c r="L338" s="5">
        <v>2939.4482591699998</v>
      </c>
      <c r="M338" t="s">
        <v>707</v>
      </c>
      <c r="N338" s="12">
        <v>0</v>
      </c>
      <c r="O338">
        <v>2</v>
      </c>
      <c r="P338" t="s">
        <v>204</v>
      </c>
      <c r="Q338" s="5">
        <v>1638</v>
      </c>
      <c r="R338" s="5">
        <v>1745.4484698599999</v>
      </c>
      <c r="S338" s="10">
        <v>2498.5310202945002</v>
      </c>
      <c r="T338" s="8">
        <v>0.37337780188318009</v>
      </c>
      <c r="U338" s="5">
        <v>0</v>
      </c>
      <c r="V338" s="5">
        <v>0</v>
      </c>
      <c r="W338" s="5">
        <v>0</v>
      </c>
      <c r="X338" s="5"/>
    </row>
    <row r="339" spans="1:44" x14ac:dyDescent="0.25">
      <c r="A339">
        <v>1863917</v>
      </c>
      <c r="B339" t="s">
        <v>20</v>
      </c>
      <c r="C339" t="s">
        <v>708</v>
      </c>
      <c r="D339" t="s">
        <v>744</v>
      </c>
      <c r="E339" t="s">
        <v>22</v>
      </c>
      <c r="F339" t="s">
        <v>23</v>
      </c>
      <c r="G339" t="s">
        <v>24</v>
      </c>
      <c r="H339" t="s">
        <v>25</v>
      </c>
      <c r="I339" t="s">
        <v>26</v>
      </c>
      <c r="J339" s="5">
        <v>995.71396200000004</v>
      </c>
      <c r="K339" t="s">
        <v>27</v>
      </c>
      <c r="L339" s="5">
        <v>2252.0343452400002</v>
      </c>
      <c r="M339" t="s">
        <v>709</v>
      </c>
      <c r="N339" s="12">
        <v>0</v>
      </c>
      <c r="O339">
        <v>8</v>
      </c>
      <c r="P339" t="s">
        <v>204</v>
      </c>
      <c r="Q339" s="5">
        <v>1414</v>
      </c>
      <c r="R339" s="5">
        <v>1364.12812794</v>
      </c>
      <c r="S339" s="10">
        <v>1914.2291934540001</v>
      </c>
      <c r="T339" s="8">
        <v>0.29074689455015568</v>
      </c>
      <c r="U339" s="5">
        <v>0</v>
      </c>
      <c r="V339" s="5">
        <v>0</v>
      </c>
      <c r="W339" s="5">
        <v>0</v>
      </c>
      <c r="X339" s="5"/>
    </row>
    <row r="340" spans="1:44" x14ac:dyDescent="0.25">
      <c r="A340">
        <v>1863918</v>
      </c>
      <c r="B340" t="s">
        <v>30</v>
      </c>
      <c r="C340" t="s">
        <v>710</v>
      </c>
      <c r="D340" t="s">
        <v>744</v>
      </c>
      <c r="E340" t="s">
        <v>22</v>
      </c>
      <c r="F340" t="s">
        <v>23</v>
      </c>
      <c r="G340" t="s">
        <v>24</v>
      </c>
      <c r="H340" t="s">
        <v>25</v>
      </c>
      <c r="I340" t="s">
        <v>26</v>
      </c>
      <c r="J340" s="5">
        <v>1694.867526</v>
      </c>
      <c r="K340" t="s">
        <v>27</v>
      </c>
      <c r="L340" s="5">
        <v>3832.9887543300001</v>
      </c>
      <c r="M340" t="s">
        <v>711</v>
      </c>
      <c r="N340" s="12">
        <v>0</v>
      </c>
      <c r="O340">
        <v>6</v>
      </c>
      <c r="P340" t="s">
        <v>204</v>
      </c>
      <c r="Q340" s="5">
        <v>2407</v>
      </c>
      <c r="R340" s="5">
        <v>2321.96851062</v>
      </c>
      <c r="S340" s="10">
        <v>3258.0404411804998</v>
      </c>
      <c r="T340" s="8">
        <v>0.29074775414306159</v>
      </c>
      <c r="U340" s="5">
        <v>0</v>
      </c>
      <c r="V340" s="5">
        <v>0</v>
      </c>
      <c r="W340" s="5">
        <v>3903.1</v>
      </c>
      <c r="X340" s="8">
        <f>1-(S340/W340)</f>
        <v>0.16526851959199107</v>
      </c>
      <c r="AB340">
        <f>A340</f>
        <v>1863918</v>
      </c>
      <c r="AC340">
        <f>IFERROR(IF(OR(NOT(ISNUMBER(S340)),NOT(ISNUMBER(W340))),"",IF(OR(S340&lt;=0,W340&lt;=0),"",(1-S340/W340)*100)),"")</f>
        <v>16.526851959199107</v>
      </c>
      <c r="AD340">
        <f>IF(AC340="","",(MAX(S340,W340)/MIN(S340,W340)-1)*100)</f>
        <v>19.799004047530278</v>
      </c>
      <c r="AE340">
        <f>IF(AC340="","",ABS(W340-S340))</f>
        <v>645.05955881950013</v>
      </c>
      <c r="AF340">
        <f>IF(AC340="","",IF(AND(AE340&lt;MAX(Расч!$B$11,S340*Расч!$B$12),IF(AD340&lt;Расч!$B$7,0,IF(AD340&lt;Расч!$B$8,1,IF(AD340&lt;Расч!$B$9,2,IF(AD340&lt;Расч!$B$10,3,4))))&gt;1),1,IF(AD340&lt;Расч!$B$7,0,IF(AD340&lt;Расч!$B$8,1,IF(AD340&lt;Расч!$B$9,2,IF(AD340&lt;Расч!$B$10,3,4))))))</f>
        <v>0</v>
      </c>
      <c r="AK340">
        <f>IF(AC340="","",AC340)</f>
        <v>16.526851959199107</v>
      </c>
      <c r="AL340">
        <f>IF(AE340="","",AE340)</f>
        <v>645.05955881950013</v>
      </c>
      <c r="AM340">
        <f>IF(AF340="","",AF340)</f>
        <v>0</v>
      </c>
      <c r="AN340" t="str">
        <f>IF(AM340="","нет данных",CHOOSE(AM340+1,"Норма","Лёгкое отклонение","Заметный разброс","Выброс","Экстремальный выброс"))</f>
        <v>Норма</v>
      </c>
      <c r="AO340">
        <f>IF(OR(AC340="",NOT(ISNUMBER(N340))),0,MAX(N340,0))</f>
        <v>0</v>
      </c>
      <c r="AP340">
        <f>IF(AC340="",0,AC340*AO340)</f>
        <v>0</v>
      </c>
      <c r="AQ340">
        <f>IF(OR(AC340="",NOT(ISNUMBER(O340))),0,MAX(O340,0)*S340)</f>
        <v>19548.242647083</v>
      </c>
      <c r="AR340">
        <f>IF(AC340="",0,AC340*AQ340)</f>
        <v>323070.9122908432</v>
      </c>
    </row>
  </sheetData>
  <autoFilter ref="A2:X340" xr:uid="{00000000-0009-0000-0000-000000000000}"/>
  <conditionalFormatting sqref="X3:X34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F81A-36FC-4C7A-81F5-BEFE53EC0F2A}">
  <sheetPr codeName="Лист2"/>
  <dimension ref="A1:B14"/>
  <sheetViews>
    <sheetView workbookViewId="0"/>
  </sheetViews>
  <sheetFormatPr defaultRowHeight="15" x14ac:dyDescent="0.25"/>
  <sheetData>
    <row r="1" spans="1:2" x14ac:dyDescent="0.25">
      <c r="A1" t="s">
        <v>811</v>
      </c>
      <c r="B1" t="s">
        <v>812</v>
      </c>
    </row>
    <row r="2" spans="1:2" x14ac:dyDescent="0.25">
      <c r="A2" t="s">
        <v>813</v>
      </c>
      <c r="B2">
        <v>19</v>
      </c>
    </row>
    <row r="3" spans="1:2" x14ac:dyDescent="0.25">
      <c r="A3" t="s">
        <v>814</v>
      </c>
      <c r="B3">
        <v>23</v>
      </c>
    </row>
    <row r="4" spans="1:2" x14ac:dyDescent="0.25">
      <c r="A4" t="s">
        <v>815</v>
      </c>
      <c r="B4" t="b">
        <v>0</v>
      </c>
    </row>
    <row r="5" spans="1:2" x14ac:dyDescent="0.25">
      <c r="A5" t="s">
        <v>816</v>
      </c>
      <c r="B5">
        <v>0</v>
      </c>
    </row>
    <row r="6" spans="1:2" x14ac:dyDescent="0.25">
      <c r="A6" t="s">
        <v>817</v>
      </c>
      <c r="B6" t="b">
        <v>1</v>
      </c>
    </row>
    <row r="7" spans="1:2" x14ac:dyDescent="0.25">
      <c r="A7" t="s">
        <v>818</v>
      </c>
      <c r="B7">
        <v>16</v>
      </c>
    </row>
    <row r="8" spans="1:2" x14ac:dyDescent="0.25">
      <c r="A8" t="s">
        <v>819</v>
      </c>
      <c r="B8" t="b">
        <v>1</v>
      </c>
    </row>
    <row r="9" spans="1:2" x14ac:dyDescent="0.25">
      <c r="A9" t="s">
        <v>820</v>
      </c>
      <c r="B9">
        <v>14</v>
      </c>
    </row>
    <row r="10" spans="1:2" x14ac:dyDescent="0.25">
      <c r="A10" t="s">
        <v>821</v>
      </c>
      <c r="B10">
        <v>3</v>
      </c>
    </row>
    <row r="11" spans="1:2" x14ac:dyDescent="0.25">
      <c r="A11" t="s">
        <v>822</v>
      </c>
      <c r="B11" t="b">
        <v>1</v>
      </c>
    </row>
    <row r="12" spans="1:2" x14ac:dyDescent="0.25">
      <c r="A12" t="s">
        <v>823</v>
      </c>
      <c r="B12">
        <v>15</v>
      </c>
    </row>
    <row r="13" spans="1:2" x14ac:dyDescent="0.25">
      <c r="A13" t="s">
        <v>824</v>
      </c>
      <c r="B13" t="b">
        <v>1</v>
      </c>
    </row>
    <row r="14" spans="1:2" x14ac:dyDescent="0.25">
      <c r="A14" t="s">
        <v>825</v>
      </c>
      <c r="B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35DC-18EF-4281-BE39-077095AFC40E}">
  <sheetPr codeName="Лист3"/>
  <dimension ref="A1:E13"/>
  <sheetViews>
    <sheetView workbookViewId="0">
      <selection activeCell="D12" sqref="D12"/>
    </sheetView>
  </sheetViews>
  <sheetFormatPr defaultRowHeight="15" x14ac:dyDescent="0.25"/>
  <cols>
    <col min="1" max="1" width="34.7109375" customWidth="1"/>
    <col min="2" max="3" width="44.7109375" customWidth="1"/>
    <col min="4" max="4" width="26.7109375" customWidth="1"/>
    <col min="5" max="5" width="16.7109375" customWidth="1"/>
  </cols>
  <sheetData>
    <row r="1" spans="1:5" ht="26.1" customHeight="1" x14ac:dyDescent="0.35">
      <c r="A1" s="18" t="s">
        <v>826</v>
      </c>
    </row>
    <row r="2" spans="1:5" x14ac:dyDescent="0.25">
      <c r="A2" t="s">
        <v>883</v>
      </c>
    </row>
    <row r="3" spans="1:5" x14ac:dyDescent="0.25">
      <c r="A3" s="19" t="s">
        <v>827</v>
      </c>
      <c r="B3" s="19"/>
      <c r="C3" s="39"/>
      <c r="D3" s="39"/>
      <c r="E3" s="39"/>
    </row>
    <row r="4" spans="1:5" x14ac:dyDescent="0.25">
      <c r="A4" s="20" t="s">
        <v>828</v>
      </c>
      <c r="B4" s="21">
        <v>16.672999999999998</v>
      </c>
    </row>
    <row r="5" spans="1:5" x14ac:dyDescent="0.25">
      <c r="A5" s="20" t="s">
        <v>829</v>
      </c>
      <c r="B5" s="21">
        <v>8.3580000000000005</v>
      </c>
    </row>
    <row r="6" spans="1:5" x14ac:dyDescent="0.25">
      <c r="A6" s="20" t="s">
        <v>830</v>
      </c>
      <c r="B6" s="21">
        <v>12.391999999999999</v>
      </c>
    </row>
    <row r="7" spans="1:5" x14ac:dyDescent="0.25">
      <c r="A7" s="22" t="s">
        <v>831</v>
      </c>
      <c r="B7" s="23">
        <v>29.065000000000001</v>
      </c>
    </row>
    <row r="8" spans="1:5" x14ac:dyDescent="0.25">
      <c r="A8" s="22" t="s">
        <v>832</v>
      </c>
      <c r="B8" s="23">
        <v>41.457000000000001</v>
      </c>
    </row>
    <row r="9" spans="1:5" x14ac:dyDescent="0.25">
      <c r="A9" s="22" t="s">
        <v>833</v>
      </c>
      <c r="B9" s="23">
        <v>53.848999999999997</v>
      </c>
    </row>
    <row r="10" spans="1:5" x14ac:dyDescent="0.25">
      <c r="A10" s="22" t="s">
        <v>834</v>
      </c>
      <c r="B10" s="23">
        <v>78.632000000000005</v>
      </c>
    </row>
    <row r="11" spans="1:5" x14ac:dyDescent="0.25">
      <c r="A11" s="22" t="s">
        <v>835</v>
      </c>
      <c r="B11" s="24">
        <v>300</v>
      </c>
    </row>
    <row r="12" spans="1:5" x14ac:dyDescent="0.25">
      <c r="A12" s="22" t="s">
        <v>836</v>
      </c>
      <c r="B12" s="23">
        <v>0.05</v>
      </c>
    </row>
    <row r="13" spans="1:5" x14ac:dyDescent="0.25">
      <c r="A13" s="22" t="s">
        <v>837</v>
      </c>
      <c r="B13" s="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F009-C28A-4A2B-97A7-F0D38E6C3B55}">
  <sheetPr codeName="Лист4"/>
  <dimension ref="A1:B35"/>
  <sheetViews>
    <sheetView workbookViewId="0">
      <selection activeCell="B2" sqref="B2"/>
    </sheetView>
  </sheetViews>
  <sheetFormatPr defaultRowHeight="15" x14ac:dyDescent="0.25"/>
  <cols>
    <col min="1" max="1" width="46.7109375" customWidth="1"/>
    <col min="2" max="2" width="13.28515625" customWidth="1"/>
  </cols>
  <sheetData>
    <row r="1" spans="1:2" ht="15.75" customHeight="1" x14ac:dyDescent="0.25">
      <c r="A1" s="26" t="s">
        <v>851</v>
      </c>
      <c r="B1" s="26" t="s">
        <v>884</v>
      </c>
    </row>
    <row r="2" spans="1:2" ht="15.75" customHeight="1" x14ac:dyDescent="0.25">
      <c r="A2" s="27" t="s">
        <v>864</v>
      </c>
      <c r="B2" s="28">
        <f>IFERROR(AVERAGE(Отчет!$AC$3:$AC$340),"нет данных")</f>
        <v>0.27333014246055926</v>
      </c>
    </row>
    <row r="3" spans="1:2" ht="15.75" customHeight="1" x14ac:dyDescent="0.25">
      <c r="A3" s="27" t="s">
        <v>865</v>
      </c>
      <c r="B3" s="28">
        <f>IFERROR(AVERAGEIFS(Отчет!$AC$3:$AC$340,Отчет!$P$3:$P$340,"A"),"нет данных")</f>
        <v>8.8911129478111111</v>
      </c>
    </row>
    <row r="4" spans="1:2" ht="15.75" customHeight="1" x14ac:dyDescent="0.25">
      <c r="A4" s="27" t="s">
        <v>866</v>
      </c>
      <c r="B4" s="28">
        <f>IFERROR(AVERAGEIFS(Отчет!$AC$3:$AC$340,Отчет!$P$3:$P$340,"B"),"нет данных")</f>
        <v>-2.8392111757802123</v>
      </c>
    </row>
    <row r="5" spans="1:2" ht="15.75" customHeight="1" x14ac:dyDescent="0.25">
      <c r="A5" s="27" t="s">
        <v>867</v>
      </c>
      <c r="B5" s="28">
        <f>IFERROR(AVERAGEIFS(Отчет!$AC$3:$AC$340,Отчет!$P$3:$P$340,"C"),"нет данных")</f>
        <v>0.52024354276551099</v>
      </c>
    </row>
    <row r="6" spans="1:2" ht="15.75" customHeight="1" x14ac:dyDescent="0.25">
      <c r="A6" s="27" t="s">
        <v>868</v>
      </c>
      <c r="B6" s="28">
        <f>IFERROR(AVERAGEIFS(Отчет!$AC$3:$AC$340,Отчет!$AF$3:$AF$340,"&lt;&gt;4"),"нет данных")</f>
        <v>-3.1279256511220623</v>
      </c>
    </row>
    <row r="7" spans="1:2" ht="15.75" customHeight="1" x14ac:dyDescent="0.25">
      <c r="A7" s="27" t="s">
        <v>869</v>
      </c>
      <c r="B7" s="28">
        <f>IFERROR(AVERAGEIFS(Отчет!$AC$3:$AC$340,Отчет!$P$3:$P$340,"A",Отчет!$AF$3:$AF$340,"&lt;&gt;4"),"нет данных")</f>
        <v>8.8911129478111111</v>
      </c>
    </row>
    <row r="8" spans="1:2" ht="15.75" customHeight="1" x14ac:dyDescent="0.25">
      <c r="A8" s="27" t="s">
        <v>870</v>
      </c>
      <c r="B8" s="28">
        <f>IFERROR(AVERAGEIFS(Отчет!$AC$3:$AC$340,Отчет!$P$3:$P$340,"B",Отчет!$AF$3:$AF$340,"&lt;&gt;4"),"нет данных")</f>
        <v>-2.8392111757802123</v>
      </c>
    </row>
    <row r="9" spans="1:2" ht="15.75" customHeight="1" x14ac:dyDescent="0.25">
      <c r="A9" s="27" t="s">
        <v>871</v>
      </c>
      <c r="B9" s="28">
        <f>IFERROR(AVERAGEIFS(Отчет!$AC$3:$AC$340,Отчет!$P$3:$P$340,"C",Отчет!$AF$3:$AF$340,"&lt;&gt;4"),"нет данных")</f>
        <v>-4.2990107944463665</v>
      </c>
    </row>
    <row r="10" spans="1:2" ht="15.75" customHeight="1" x14ac:dyDescent="0.25">
      <c r="A10" s="27" t="s">
        <v>872</v>
      </c>
      <c r="B10" s="28">
        <f>IFERROR(AVERAGEIFS(Отчет!$AC$3:$AC$340,Отчет!$AF$3:$AF$340,"&lt;2"),"нет данных")</f>
        <v>-4.1294646843170026</v>
      </c>
    </row>
    <row r="11" spans="1:2" ht="15.75" customHeight="1" x14ac:dyDescent="0.25">
      <c r="A11" s="27" t="s">
        <v>873</v>
      </c>
      <c r="B11" s="28">
        <f>IFERROR(AVERAGEIFS(Отчет!$AC$3:$AC$340,Отчет!$P$3:$P$340,"A",Отчет!$AF$3:$AF$340,"&lt;2"),"нет данных")</f>
        <v>1.0653526945526433</v>
      </c>
    </row>
    <row r="12" spans="1:2" ht="15.75" customHeight="1" x14ac:dyDescent="0.25">
      <c r="A12" s="27" t="s">
        <v>874</v>
      </c>
      <c r="B12" s="28">
        <f>IFERROR(AVERAGEIFS(Отчет!$AC$3:$AC$340,Отчет!$P$3:$P$340,"B",Отчет!$AF$3:$AF$340,"&lt;2"),"нет данных")</f>
        <v>-4.7423372408169193</v>
      </c>
    </row>
    <row r="13" spans="1:2" ht="15.75" customHeight="1" x14ac:dyDescent="0.25">
      <c r="A13" s="27" t="s">
        <v>875</v>
      </c>
      <c r="B13" s="28">
        <f>IFERROR(AVERAGEIFS(Отчет!$AC$3:$AC$340,Отчет!$P$3:$P$340,"C",Отчет!$AF$3:$AF$340,"&lt;2"),"нет данных")</f>
        <v>-4.3283945516329219</v>
      </c>
    </row>
    <row r="14" spans="1:2" ht="15.75" customHeight="1" x14ac:dyDescent="0.25">
      <c r="A14" s="27" t="s">
        <v>876</v>
      </c>
      <c r="B14" s="28">
        <f>IFERROR(STDEV(Отчет!$AC$3:$AC$340),"нет данных")</f>
        <v>27.011254687239902</v>
      </c>
    </row>
    <row r="15" spans="1:2" ht="15.75" customHeight="1" x14ac:dyDescent="0.25">
      <c r="A15" s="27" t="s">
        <v>877</v>
      </c>
      <c r="B15" s="28">
        <f>IFERROR(MEDIAN(Отчет!$AC$3:$AC$340),"нет данных")</f>
        <v>-2.1707534509316506</v>
      </c>
    </row>
    <row r="16" spans="1:2" ht="15.75" customHeight="1" x14ac:dyDescent="0.25">
      <c r="A16" s="27" t="s">
        <v>878</v>
      </c>
      <c r="B16" s="28">
        <f>IF(SUM(Отчет!$AO$3:$AO$340)=0,"нет данных",SUM(Отчет!$AP$3:$AP$340)/SUM(Отчет!$AO$3:$AO$340))</f>
        <v>-1.7731275324142997</v>
      </c>
    </row>
    <row r="17" spans="1:2" ht="15.75" customHeight="1" x14ac:dyDescent="0.25">
      <c r="A17" s="27" t="s">
        <v>879</v>
      </c>
      <c r="B17" s="28">
        <f>IF(SUM(Отчет!$AQ$3:$AQ$340)=0,"нет данных",SUM(Отчет!$AR$3:$AR$340)/SUM(Отчет!$AQ$3:$AQ$340))</f>
        <v>6.8671779985825925</v>
      </c>
    </row>
    <row r="18" spans="1:2" ht="15.75" customHeight="1" x14ac:dyDescent="0.25">
      <c r="A18" s="34"/>
      <c r="B18" s="35"/>
    </row>
    <row r="19" spans="1:2" ht="15.75" customHeight="1" x14ac:dyDescent="0.25">
      <c r="A19" s="29" t="s">
        <v>880</v>
      </c>
      <c r="B19" s="30">
        <v>10</v>
      </c>
    </row>
    <row r="20" spans="1:2" ht="15.75" customHeight="1" x14ac:dyDescent="0.25">
      <c r="A20" s="36"/>
      <c r="B20" s="37"/>
    </row>
    <row r="21" spans="1:2" ht="15.75" customHeight="1" x14ac:dyDescent="0.25">
      <c r="A21" s="27" t="s">
        <v>852</v>
      </c>
      <c r="B21" s="31">
        <f>COUNT(Отчет!$AC$3:$AC$340)</f>
        <v>89</v>
      </c>
    </row>
    <row r="22" spans="1:2" ht="15.75" customHeight="1" x14ac:dyDescent="0.25">
      <c r="A22" s="27" t="s">
        <v>853</v>
      </c>
      <c r="B22" s="32">
        <f>IF(B21=0,"нет данных",COUNTIF(Отчет!$AC$3:$AC$340,"&gt;"&amp;Расч!$B$13)/B21*100)</f>
        <v>42.696629213483142</v>
      </c>
    </row>
    <row r="23" spans="1:2" ht="15.75" customHeight="1" x14ac:dyDescent="0.25">
      <c r="A23" s="27" t="s">
        <v>854</v>
      </c>
      <c r="B23" s="32">
        <f>IF(B21=0,"нет данных",COUNTIF(Отчет!$AC$3:$AC$340,"&lt;-"&amp;Расч!$B$13)/B21*100)</f>
        <v>49.438202247191008</v>
      </c>
    </row>
    <row r="24" spans="1:2" ht="15.75" customHeight="1" x14ac:dyDescent="0.25">
      <c r="A24" s="27" t="s">
        <v>855</v>
      </c>
      <c r="B24" s="32">
        <f>IF(B21=0,"нет данных",100-B22-B23)</f>
        <v>7.8651685393258504</v>
      </c>
    </row>
    <row r="25" spans="1:2" ht="15.75" customHeight="1" x14ac:dyDescent="0.25">
      <c r="A25" s="27" t="s">
        <v>881</v>
      </c>
      <c r="B25" s="32">
        <f>IF(B21=0,"нет данных",COUNTIF(Отчет!$AF$3:$AF$340,"&gt;=3")/B21*100)</f>
        <v>12.359550561797752</v>
      </c>
    </row>
    <row r="26" spans="1:2" ht="15.75" customHeight="1" x14ac:dyDescent="0.25">
      <c r="A26" s="27" t="s">
        <v>882</v>
      </c>
      <c r="B26" s="33">
        <f>IF(SUM(Отчет!$AQ$3:$AQ$340)=0,"нет данных",SUMIFS(Отчет!$AQ$3:$AQ$340,Отчет!$AF$3:$AF$340,"&gt;=3"))</f>
        <v>2104921.1570208031</v>
      </c>
    </row>
    <row r="27" spans="1:2" x14ac:dyDescent="0.25">
      <c r="B27" s="38"/>
    </row>
    <row r="28" spans="1:2" x14ac:dyDescent="0.25">
      <c r="B28" s="38"/>
    </row>
    <row r="29" spans="1:2" x14ac:dyDescent="0.25">
      <c r="B29" s="38"/>
    </row>
    <row r="30" spans="1:2" x14ac:dyDescent="0.25">
      <c r="B30" s="38"/>
    </row>
    <row r="31" spans="1:2" x14ac:dyDescent="0.25">
      <c r="B31" s="38"/>
    </row>
    <row r="32" spans="1:2" x14ac:dyDescent="0.25">
      <c r="B32" s="38"/>
    </row>
    <row r="33" spans="2:2" x14ac:dyDescent="0.25">
      <c r="B33" s="38"/>
    </row>
    <row r="34" spans="2:2" x14ac:dyDescent="0.25">
      <c r="B34" s="38"/>
    </row>
    <row r="35" spans="2:2" x14ac:dyDescent="0.25">
      <c r="B35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</vt:lpstr>
      <vt:lpstr>Расч</vt:lpstr>
      <vt:lpstr>Сводка по брендам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Сухарев Александр</cp:lastModifiedBy>
  <dcterms:created xsi:type="dcterms:W3CDTF">2026-08-14T05:36:43Z</dcterms:created>
  <dcterms:modified xsi:type="dcterms:W3CDTF">2026-10-06T10:19:25Z</dcterms:modified>
</cp:coreProperties>
</file>